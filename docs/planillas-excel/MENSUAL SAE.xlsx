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MAYO 26" sheetId="1" r:id="rId1"/>
    <sheet name="JUNIO 26" sheetId="2" r:id="rId2"/>
    <sheet name="JULIO 26" sheetId="3" r:id="rId3"/>
    <sheet name="Hoja1" sheetId="4" r:id="rId4"/>
  </sheets>
  <calcPr calcId="124519"/>
</workbook>
</file>

<file path=xl/calcChain.xml><?xml version="1.0" encoding="utf-8"?>
<calcChain xmlns="http://schemas.openxmlformats.org/spreadsheetml/2006/main">
  <c r="F3" i="1"/>
  <c r="F4"/>
  <c r="F5"/>
  <c r="F2"/>
  <c r="F3" i="2"/>
  <c r="F4"/>
  <c r="F5"/>
  <c r="F2"/>
  <c r="G8"/>
  <c r="G11" i="1" l="1"/>
  <c r="G11" i="4"/>
  <c r="F23" i="2"/>
  <c r="G23"/>
  <c r="H23"/>
  <c r="I23"/>
  <c r="J23"/>
  <c r="K23"/>
  <c r="L23"/>
  <c r="M23"/>
  <c r="N23"/>
  <c r="O23"/>
  <c r="P23"/>
  <c r="Q22"/>
  <c r="G11"/>
  <c r="G12" i="4"/>
  <c r="P23"/>
  <c r="O23"/>
  <c r="N23"/>
  <c r="M23"/>
  <c r="L23"/>
  <c r="K23"/>
  <c r="J23"/>
  <c r="I23"/>
  <c r="H23"/>
  <c r="G23"/>
  <c r="F23"/>
  <c r="E23"/>
  <c r="D23"/>
  <c r="Q23" s="1"/>
  <c r="Q21"/>
  <c r="Q20"/>
  <c r="Q19"/>
  <c r="Q18"/>
  <c r="G10"/>
  <c r="G9"/>
  <c r="G8"/>
  <c r="N5"/>
  <c r="O5" s="1"/>
  <c r="M5"/>
  <c r="H5"/>
  <c r="N4"/>
  <c r="O4" s="1"/>
  <c r="M4"/>
  <c r="H4"/>
  <c r="N3"/>
  <c r="O3" s="1"/>
  <c r="M3"/>
  <c r="H3"/>
  <c r="N2"/>
  <c r="O2" s="1"/>
  <c r="M2"/>
  <c r="H2"/>
  <c r="H8" s="1"/>
  <c r="P22" i="3"/>
  <c r="O22"/>
  <c r="N22"/>
  <c r="M22"/>
  <c r="L22"/>
  <c r="K22"/>
  <c r="J22"/>
  <c r="I22"/>
  <c r="H22"/>
  <c r="G22"/>
  <c r="F22"/>
  <c r="E22"/>
  <c r="D22"/>
  <c r="Q22" s="1"/>
  <c r="Q20"/>
  <c r="Q19"/>
  <c r="Q18"/>
  <c r="Q17"/>
  <c r="G11"/>
  <c r="G10"/>
  <c r="G9"/>
  <c r="G8"/>
  <c r="G12" s="1"/>
  <c r="I8" s="1"/>
  <c r="N5"/>
  <c r="O5" s="1"/>
  <c r="M5"/>
  <c r="H5"/>
  <c r="N4"/>
  <c r="O4" s="1"/>
  <c r="M4"/>
  <c r="H4"/>
  <c r="N3"/>
  <c r="O3" s="1"/>
  <c r="M3"/>
  <c r="H3"/>
  <c r="N2"/>
  <c r="O2" s="1"/>
  <c r="M2"/>
  <c r="H2"/>
  <c r="H8" s="1"/>
  <c r="E23" i="2"/>
  <c r="D23"/>
  <c r="Q21"/>
  <c r="Q20"/>
  <c r="Q19"/>
  <c r="Q18"/>
  <c r="G12"/>
  <c r="G10"/>
  <c r="G9"/>
  <c r="N5"/>
  <c r="O5" s="1"/>
  <c r="M5"/>
  <c r="H5"/>
  <c r="N4"/>
  <c r="O4" s="1"/>
  <c r="M4"/>
  <c r="H4"/>
  <c r="N3"/>
  <c r="O3" s="1"/>
  <c r="M3"/>
  <c r="H3"/>
  <c r="N2"/>
  <c r="O2" s="1"/>
  <c r="M2"/>
  <c r="H2"/>
  <c r="G9" i="1"/>
  <c r="H8" i="2" l="1"/>
  <c r="G13"/>
  <c r="G13" i="4"/>
  <c r="I8" s="1"/>
  <c r="O6"/>
  <c r="O6" i="3"/>
  <c r="Q23" i="2"/>
  <c r="O6"/>
  <c r="O3" i="1"/>
  <c r="N3"/>
  <c r="O6"/>
  <c r="O4"/>
  <c r="O5"/>
  <c r="O2"/>
  <c r="N4"/>
  <c r="N5"/>
  <c r="N2"/>
  <c r="I8" i="2" l="1"/>
  <c r="Q17" i="1"/>
  <c r="M3"/>
  <c r="M4"/>
  <c r="M5"/>
  <c r="M2"/>
  <c r="Q18"/>
  <c r="Q20"/>
  <c r="Q19" l="1"/>
  <c r="H3" l="1"/>
  <c r="H4"/>
  <c r="H5"/>
  <c r="H2"/>
  <c r="H8" s="1"/>
  <c r="G10"/>
  <c r="G8"/>
  <c r="G12" l="1"/>
  <c r="I8" s="1"/>
  <c r="D22" l="1"/>
  <c r="K22"/>
  <c r="L22"/>
  <c r="H22"/>
  <c r="M22"/>
  <c r="P22"/>
  <c r="F22"/>
  <c r="G22"/>
  <c r="E22"/>
  <c r="N22"/>
  <c r="I22"/>
  <c r="O22"/>
  <c r="J22"/>
  <c r="Q22" l="1"/>
</calcChain>
</file>

<file path=xl/sharedStrings.xml><?xml version="1.0" encoding="utf-8"?>
<sst xmlns="http://schemas.openxmlformats.org/spreadsheetml/2006/main" count="270" uniqueCount="48">
  <si>
    <t>MES</t>
  </si>
  <si>
    <t>N° OC</t>
  </si>
  <si>
    <t>SEMANA</t>
  </si>
  <si>
    <t>4 AL 8</t>
  </si>
  <si>
    <t>11 AL 15</t>
  </si>
  <si>
    <t>18 AL 22</t>
  </si>
  <si>
    <t>26 AL 29</t>
  </si>
  <si>
    <t>MAYO</t>
  </si>
  <si>
    <t>AZUL</t>
  </si>
  <si>
    <t>CACHARI</t>
  </si>
  <si>
    <t>CHILLAR</t>
  </si>
  <si>
    <t>TOTAL</t>
  </si>
  <si>
    <t>ANEXO X</t>
  </si>
  <si>
    <t>DISPONIBLE</t>
  </si>
  <si>
    <t>PATIOS</t>
  </si>
  <si>
    <t>VALOR CUPO</t>
  </si>
  <si>
    <t>CANT X MES</t>
  </si>
  <si>
    <t>CUPOS DIARIOS</t>
  </si>
  <si>
    <t>ALBERGUES</t>
  </si>
  <si>
    <t>COMEDOR</t>
  </si>
  <si>
    <t>DESAY-MERIEN</t>
  </si>
  <si>
    <t>CUPOS OTORG</t>
  </si>
  <si>
    <t>TOTAL X SERV</t>
  </si>
  <si>
    <t>TUX</t>
  </si>
  <si>
    <t>TESTA</t>
  </si>
  <si>
    <t>FERNANDEZ</t>
  </si>
  <si>
    <t>LA SOÑADA</t>
  </si>
  <si>
    <t>FURIO</t>
  </si>
  <si>
    <t>CAPPUCCIO</t>
  </si>
  <si>
    <t>CIVALE</t>
  </si>
  <si>
    <t>GALLEGOS</t>
  </si>
  <si>
    <t>MASSON</t>
  </si>
  <si>
    <t>SECOS</t>
  </si>
  <si>
    <t>PAN</t>
  </si>
  <si>
    <t>FRUT Y VERD</t>
  </si>
  <si>
    <t>CARNE</t>
  </si>
  <si>
    <t>FURT Y VERD</t>
  </si>
  <si>
    <t>TOTALES</t>
  </si>
  <si>
    <t>SERVICIO</t>
  </si>
  <si>
    <t>REALES</t>
  </si>
  <si>
    <t>DIRENCIA</t>
  </si>
  <si>
    <t>$$ DIFERENCIA</t>
  </si>
  <si>
    <t>JUNIO</t>
  </si>
  <si>
    <t>1 AL 5</t>
  </si>
  <si>
    <t>8 AL 12</t>
  </si>
  <si>
    <t>15 AL 19</t>
  </si>
  <si>
    <t>22 AL 26</t>
  </si>
  <si>
    <t>29 AL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</si>
</sst>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1" xfId="0" applyFont="1" applyFill="1" applyBorder="1"/>
    <xf numFmtId="0" fontId="0" fillId="3" borderId="1" xfId="0" applyFill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zoomScale="80" zoomScaleNormal="80" workbookViewId="0">
      <selection activeCell="E2" sqref="E2"/>
    </sheetView>
  </sheetViews>
  <sheetFormatPr baseColWidth="10" defaultRowHeight="15"/>
  <cols>
    <col min="3" max="3" width="13.42578125" customWidth="1"/>
    <col min="4" max="4" width="15.28515625" customWidth="1"/>
    <col min="5" max="5" width="15.5703125" customWidth="1"/>
    <col min="6" max="6" width="13.42578125" customWidth="1"/>
    <col min="7" max="7" width="13" customWidth="1"/>
    <col min="8" max="8" width="13.5703125" customWidth="1"/>
  </cols>
  <sheetData>
    <row r="1" spans="1:17">
      <c r="B1" s="14" t="s">
        <v>12</v>
      </c>
      <c r="C1" s="3" t="s">
        <v>21</v>
      </c>
      <c r="D1" s="3" t="s">
        <v>38</v>
      </c>
      <c r="E1" s="3" t="s">
        <v>17</v>
      </c>
      <c r="F1" s="3" t="s">
        <v>16</v>
      </c>
      <c r="G1" s="3" t="s">
        <v>15</v>
      </c>
      <c r="H1" s="3" t="s">
        <v>22</v>
      </c>
      <c r="I1" s="13" t="s">
        <v>39</v>
      </c>
      <c r="J1" s="6" t="s">
        <v>8</v>
      </c>
      <c r="K1" s="6" t="s">
        <v>9</v>
      </c>
      <c r="L1" s="6" t="s">
        <v>10</v>
      </c>
      <c r="M1" s="6" t="s">
        <v>37</v>
      </c>
      <c r="N1" s="6" t="s">
        <v>40</v>
      </c>
      <c r="O1" s="6" t="s">
        <v>41</v>
      </c>
    </row>
    <row r="2" spans="1:17">
      <c r="B2" s="14"/>
      <c r="C2" s="3">
        <v>8852</v>
      </c>
      <c r="D2" s="3" t="s">
        <v>20</v>
      </c>
      <c r="E2" s="1">
        <v>8047</v>
      </c>
      <c r="F2" s="1">
        <f>+E2*19</f>
        <v>152893</v>
      </c>
      <c r="G2" s="1">
        <v>622</v>
      </c>
      <c r="H2" s="1">
        <f>+F2*G2</f>
        <v>95099446</v>
      </c>
      <c r="I2" s="13"/>
      <c r="J2" s="1">
        <v>5802</v>
      </c>
      <c r="K2" s="1">
        <v>599</v>
      </c>
      <c r="L2" s="1">
        <v>720</v>
      </c>
      <c r="M2" s="1">
        <f>SUM(J2:L2)</f>
        <v>7121</v>
      </c>
      <c r="N2" s="1">
        <f>+E2-M2</f>
        <v>926</v>
      </c>
      <c r="O2" s="1">
        <f>+N2*G2</f>
        <v>575972</v>
      </c>
    </row>
    <row r="3" spans="1:17">
      <c r="B3" s="14"/>
      <c r="C3" s="3">
        <v>3585</v>
      </c>
      <c r="D3" s="3" t="s">
        <v>19</v>
      </c>
      <c r="E3" s="1">
        <v>2229</v>
      </c>
      <c r="F3" s="1">
        <f t="shared" ref="F3:F5" si="0">+E3*19</f>
        <v>42351</v>
      </c>
      <c r="G3" s="1">
        <v>1285</v>
      </c>
      <c r="H3" s="1">
        <f t="shared" ref="H3:H5" si="1">+F3*G3</f>
        <v>54421035</v>
      </c>
      <c r="I3" s="13"/>
      <c r="J3" s="1">
        <v>1677</v>
      </c>
      <c r="K3" s="1">
        <v>145</v>
      </c>
      <c r="L3" s="1">
        <v>199</v>
      </c>
      <c r="M3" s="1">
        <f t="shared" ref="M3:M5" si="2">SUM(J3:L3)</f>
        <v>2021</v>
      </c>
      <c r="N3" s="1">
        <f>+E3-M3</f>
        <v>208</v>
      </c>
      <c r="O3" s="1">
        <f>+N3*G3</f>
        <v>267280</v>
      </c>
    </row>
    <row r="4" spans="1:17">
      <c r="B4" s="14"/>
      <c r="C4" s="3">
        <v>90</v>
      </c>
      <c r="D4" s="3" t="s">
        <v>18</v>
      </c>
      <c r="E4" s="1">
        <v>90</v>
      </c>
      <c r="F4" s="1">
        <f t="shared" si="0"/>
        <v>1710</v>
      </c>
      <c r="G4" s="1">
        <v>3814</v>
      </c>
      <c r="H4" s="1">
        <f t="shared" si="1"/>
        <v>6521940</v>
      </c>
      <c r="I4" s="13"/>
      <c r="J4" s="1">
        <v>90</v>
      </c>
      <c r="K4" s="1">
        <v>0</v>
      </c>
      <c r="L4" s="1">
        <v>0</v>
      </c>
      <c r="M4" s="1">
        <f t="shared" si="2"/>
        <v>90</v>
      </c>
      <c r="N4" s="1">
        <f t="shared" ref="N4:N5" si="3">+E4-M4</f>
        <v>0</v>
      </c>
      <c r="O4" s="1">
        <f t="shared" ref="O4:O5" si="4">+N4*G4</f>
        <v>0</v>
      </c>
    </row>
    <row r="5" spans="1:17">
      <c r="B5" s="14"/>
      <c r="C5" s="3">
        <v>36</v>
      </c>
      <c r="D5" s="3" t="s">
        <v>14</v>
      </c>
      <c r="E5" s="1">
        <v>36</v>
      </c>
      <c r="F5" s="1">
        <f t="shared" si="0"/>
        <v>684</v>
      </c>
      <c r="G5" s="1">
        <v>622</v>
      </c>
      <c r="H5" s="1">
        <f t="shared" si="1"/>
        <v>425448</v>
      </c>
      <c r="I5" s="13"/>
      <c r="J5" s="1">
        <v>36</v>
      </c>
      <c r="K5" s="1">
        <v>0</v>
      </c>
      <c r="L5" s="1">
        <v>0</v>
      </c>
      <c r="M5" s="1">
        <f t="shared" si="2"/>
        <v>36</v>
      </c>
      <c r="N5" s="1">
        <f t="shared" si="3"/>
        <v>0</v>
      </c>
      <c r="O5" s="1">
        <f t="shared" si="4"/>
        <v>0</v>
      </c>
    </row>
    <row r="6" spans="1:17">
      <c r="O6">
        <f>+O2+O3+O4+O5</f>
        <v>843252</v>
      </c>
    </row>
    <row r="7" spans="1:17">
      <c r="A7" s="3" t="s">
        <v>0</v>
      </c>
      <c r="B7" s="3" t="s">
        <v>2</v>
      </c>
      <c r="C7" s="3" t="s">
        <v>1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17">
      <c r="A8" s="14" t="s">
        <v>7</v>
      </c>
      <c r="B8" s="2" t="s">
        <v>3</v>
      </c>
      <c r="C8" s="1">
        <v>9</v>
      </c>
      <c r="D8" s="1">
        <v>23947226</v>
      </c>
      <c r="E8" s="1">
        <v>3383986</v>
      </c>
      <c r="F8" s="1">
        <v>3556054</v>
      </c>
      <c r="G8" s="1">
        <f>SUM(D8:F8)</f>
        <v>30887266</v>
      </c>
      <c r="H8" s="15">
        <f>SUM(H2:H5)</f>
        <v>156467869</v>
      </c>
      <c r="I8" s="16">
        <f>SUM(H8,-G12)</f>
        <v>28248082</v>
      </c>
    </row>
    <row r="9" spans="1:17">
      <c r="A9" s="14"/>
      <c r="B9" s="1" t="s">
        <v>4</v>
      </c>
      <c r="C9" s="1">
        <v>10</v>
      </c>
      <c r="D9" s="1">
        <v>25476062</v>
      </c>
      <c r="E9" s="1">
        <v>2991968</v>
      </c>
      <c r="F9" s="1">
        <v>3399420</v>
      </c>
      <c r="G9" s="1">
        <f t="shared" ref="G9:G11" si="5">SUM(D9:F9)</f>
        <v>31867450</v>
      </c>
      <c r="H9" s="15"/>
      <c r="I9" s="16"/>
    </row>
    <row r="10" spans="1:17">
      <c r="A10" s="14"/>
      <c r="B10" s="1" t="s">
        <v>5</v>
      </c>
      <c r="C10" s="1">
        <v>11</v>
      </c>
      <c r="D10" s="1">
        <v>23204819</v>
      </c>
      <c r="E10" s="1">
        <v>2810672</v>
      </c>
      <c r="F10" s="1">
        <v>2668293</v>
      </c>
      <c r="G10" s="1">
        <f t="shared" si="5"/>
        <v>28683784</v>
      </c>
      <c r="H10" s="15"/>
      <c r="I10" s="16"/>
    </row>
    <row r="11" spans="1:17">
      <c r="A11" s="14"/>
      <c r="B11" s="1" t="s">
        <v>6</v>
      </c>
      <c r="C11" s="1">
        <v>12</v>
      </c>
      <c r="D11" s="7">
        <v>29481385</v>
      </c>
      <c r="E11" s="7">
        <v>3339102</v>
      </c>
      <c r="F11" s="1">
        <v>3960800</v>
      </c>
      <c r="G11" s="7">
        <f t="shared" si="5"/>
        <v>36781287</v>
      </c>
      <c r="H11" s="15"/>
      <c r="I11" s="16"/>
    </row>
    <row r="12" spans="1:17">
      <c r="A12" s="1"/>
      <c r="B12" s="1"/>
      <c r="C12" s="1"/>
      <c r="D12" s="1"/>
      <c r="E12" s="1"/>
      <c r="F12" s="3" t="s">
        <v>11</v>
      </c>
      <c r="G12" s="1">
        <f>SUM(G8:G11)</f>
        <v>128219787</v>
      </c>
      <c r="H12" s="1"/>
      <c r="I12" s="1"/>
    </row>
    <row r="14" spans="1:17">
      <c r="D14" s="9" t="s">
        <v>8</v>
      </c>
      <c r="E14" s="9"/>
      <c r="F14" s="9"/>
      <c r="G14" s="9"/>
      <c r="H14" s="9"/>
      <c r="I14" s="9" t="s">
        <v>9</v>
      </c>
      <c r="J14" s="9"/>
      <c r="K14" s="9"/>
      <c r="L14" s="9"/>
      <c r="M14" s="9" t="s">
        <v>10</v>
      </c>
      <c r="N14" s="9"/>
      <c r="O14" s="9"/>
      <c r="P14" s="9"/>
    </row>
    <row r="15" spans="1:17"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J15" s="3" t="s">
        <v>29</v>
      </c>
      <c r="K15" s="3" t="s">
        <v>30</v>
      </c>
      <c r="L15" s="3" t="s">
        <v>26</v>
      </c>
      <c r="M15" s="3" t="s">
        <v>31</v>
      </c>
      <c r="N15" s="3" t="s">
        <v>26</v>
      </c>
      <c r="O15" s="3" t="s">
        <v>25</v>
      </c>
      <c r="P15" s="3" t="s">
        <v>30</v>
      </c>
    </row>
    <row r="16" spans="1:17">
      <c r="A16" s="3" t="s">
        <v>0</v>
      </c>
      <c r="B16" s="3" t="s">
        <v>2</v>
      </c>
      <c r="C16" s="4" t="s">
        <v>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34</v>
      </c>
      <c r="J16" s="3" t="s">
        <v>33</v>
      </c>
      <c r="K16" s="3" t="s">
        <v>32</v>
      </c>
      <c r="L16" s="3" t="s">
        <v>35</v>
      </c>
      <c r="M16" s="3" t="s">
        <v>33</v>
      </c>
      <c r="N16" s="3" t="s">
        <v>35</v>
      </c>
      <c r="O16" s="3" t="s">
        <v>36</v>
      </c>
      <c r="P16" s="3" t="s">
        <v>32</v>
      </c>
      <c r="Q16" s="6" t="s">
        <v>37</v>
      </c>
    </row>
    <row r="17" spans="1:17">
      <c r="A17" s="10" t="s">
        <v>7</v>
      </c>
      <c r="B17" s="2" t="s">
        <v>3</v>
      </c>
      <c r="C17" s="5">
        <v>9</v>
      </c>
      <c r="D17" s="1">
        <v>6144516</v>
      </c>
      <c r="E17" s="1">
        <v>6163600</v>
      </c>
      <c r="F17" s="1">
        <v>7286910</v>
      </c>
      <c r="G17" s="1">
        <v>2563000</v>
      </c>
      <c r="H17" s="1">
        <v>1789200</v>
      </c>
      <c r="I17" s="1">
        <v>849140</v>
      </c>
      <c r="J17" s="1">
        <v>716000</v>
      </c>
      <c r="K17" s="1">
        <v>1412846</v>
      </c>
      <c r="L17" s="1">
        <v>406000</v>
      </c>
      <c r="M17" s="1">
        <v>835800</v>
      </c>
      <c r="N17" s="1">
        <v>540000</v>
      </c>
      <c r="O17" s="1">
        <v>763410</v>
      </c>
      <c r="P17" s="1">
        <v>1416844</v>
      </c>
      <c r="Q17" s="1">
        <f>SUM(D17:P17)</f>
        <v>30887266</v>
      </c>
    </row>
    <row r="18" spans="1:17">
      <c r="A18" s="11"/>
      <c r="B18" s="1" t="s">
        <v>4</v>
      </c>
      <c r="C18" s="5">
        <v>10</v>
      </c>
      <c r="D18" s="1">
        <v>6467082</v>
      </c>
      <c r="E18" s="1">
        <v>6463800</v>
      </c>
      <c r="F18" s="1">
        <v>7360680</v>
      </c>
      <c r="G18" s="1">
        <v>3579500</v>
      </c>
      <c r="H18" s="1">
        <v>1596000</v>
      </c>
      <c r="I18" s="1">
        <v>619920</v>
      </c>
      <c r="J18" s="1">
        <v>728000</v>
      </c>
      <c r="K18" s="1">
        <v>1200048</v>
      </c>
      <c r="L18" s="1">
        <v>444000</v>
      </c>
      <c r="M18" s="1">
        <v>835800</v>
      </c>
      <c r="N18" s="1">
        <v>640000</v>
      </c>
      <c r="O18" s="1">
        <v>781720</v>
      </c>
      <c r="P18" s="1">
        <v>1141900</v>
      </c>
      <c r="Q18" s="1">
        <f t="shared" ref="Q18:Q20" si="6">SUM(D18:P18)</f>
        <v>31858450</v>
      </c>
    </row>
    <row r="19" spans="1:17">
      <c r="A19" s="11"/>
      <c r="B19" s="1" t="s">
        <v>5</v>
      </c>
      <c r="C19" s="5">
        <v>11</v>
      </c>
      <c r="D19" s="1">
        <v>5506819</v>
      </c>
      <c r="E19" s="1">
        <v>6083800</v>
      </c>
      <c r="F19" s="1">
        <v>7334400</v>
      </c>
      <c r="G19" s="1">
        <v>2541000</v>
      </c>
      <c r="H19" s="1">
        <v>1738800</v>
      </c>
      <c r="I19" s="1">
        <v>827260</v>
      </c>
      <c r="J19" s="1">
        <v>716000</v>
      </c>
      <c r="K19" s="1">
        <v>930912</v>
      </c>
      <c r="L19" s="1">
        <v>336500</v>
      </c>
      <c r="M19" s="1">
        <v>835800</v>
      </c>
      <c r="N19" s="1">
        <v>540000</v>
      </c>
      <c r="O19" s="1">
        <v>721550</v>
      </c>
      <c r="P19" s="1">
        <v>570943</v>
      </c>
      <c r="Q19" s="1">
        <f t="shared" si="6"/>
        <v>28683784</v>
      </c>
    </row>
    <row r="20" spans="1:17">
      <c r="A20" s="12"/>
      <c r="B20" s="1" t="s">
        <v>6</v>
      </c>
      <c r="C20" s="5">
        <v>12</v>
      </c>
      <c r="D20" s="7">
        <v>9558145</v>
      </c>
      <c r="E20" s="7">
        <v>6581600</v>
      </c>
      <c r="F20" s="7">
        <v>8468640</v>
      </c>
      <c r="G20" s="7">
        <v>3235000</v>
      </c>
      <c r="H20" s="7">
        <v>1638000</v>
      </c>
      <c r="I20" s="7">
        <v>894170</v>
      </c>
      <c r="J20" s="7">
        <v>708000</v>
      </c>
      <c r="K20" s="7">
        <v>1366432</v>
      </c>
      <c r="L20" s="7">
        <v>370500</v>
      </c>
      <c r="M20" s="7">
        <v>835800</v>
      </c>
      <c r="N20" s="7">
        <v>602000</v>
      </c>
      <c r="O20" s="7">
        <v>792850</v>
      </c>
      <c r="P20" s="7">
        <v>1730150</v>
      </c>
      <c r="Q20" s="7">
        <f t="shared" si="6"/>
        <v>36781287</v>
      </c>
    </row>
    <row r="21" spans="1:17">
      <c r="A21" s="1"/>
      <c r="B21" s="1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C22" s="3" t="s">
        <v>37</v>
      </c>
      <c r="D22" s="1">
        <f t="shared" ref="D22:P22" si="7">SUM(D17:D21)</f>
        <v>27676562</v>
      </c>
      <c r="E22" s="1">
        <f t="shared" si="7"/>
        <v>25292800</v>
      </c>
      <c r="F22" s="1">
        <f t="shared" si="7"/>
        <v>30450630</v>
      </c>
      <c r="G22" s="1">
        <f t="shared" si="7"/>
        <v>11918500</v>
      </c>
      <c r="H22" s="1">
        <f t="shared" si="7"/>
        <v>6762000</v>
      </c>
      <c r="I22" s="1">
        <f t="shared" si="7"/>
        <v>3190490</v>
      </c>
      <c r="J22" s="1">
        <f t="shared" si="7"/>
        <v>2868000</v>
      </c>
      <c r="K22" s="1">
        <f t="shared" si="7"/>
        <v>4910238</v>
      </c>
      <c r="L22" s="1">
        <f t="shared" si="7"/>
        <v>1557000</v>
      </c>
      <c r="M22" s="1">
        <f t="shared" si="7"/>
        <v>3343200</v>
      </c>
      <c r="N22" s="1">
        <f t="shared" si="7"/>
        <v>2322000</v>
      </c>
      <c r="O22" s="1">
        <f t="shared" si="7"/>
        <v>3059530</v>
      </c>
      <c r="P22" s="1">
        <f t="shared" si="7"/>
        <v>4859837</v>
      </c>
      <c r="Q22" s="1">
        <f>SUM(D22:P22)</f>
        <v>128210787</v>
      </c>
    </row>
  </sheetData>
  <mergeCells count="9">
    <mergeCell ref="M14:P14"/>
    <mergeCell ref="A17:A20"/>
    <mergeCell ref="I1:I5"/>
    <mergeCell ref="A8:A11"/>
    <mergeCell ref="H8:H11"/>
    <mergeCell ref="I8:I11"/>
    <mergeCell ref="B1:B5"/>
    <mergeCell ref="D14:H14"/>
    <mergeCell ref="I14:L1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"/>
  <sheetViews>
    <sheetView zoomScale="80" zoomScaleNormal="80" workbookViewId="0">
      <selection activeCell="H6" sqref="H6"/>
    </sheetView>
  </sheetViews>
  <sheetFormatPr baseColWidth="10" defaultRowHeight="15"/>
  <sheetData>
    <row r="1" spans="1:16">
      <c r="B1" s="14" t="s">
        <v>12</v>
      </c>
      <c r="C1" s="3" t="s">
        <v>21</v>
      </c>
      <c r="D1" s="3" t="s">
        <v>38</v>
      </c>
      <c r="E1" s="3" t="s">
        <v>17</v>
      </c>
      <c r="F1" s="3" t="s">
        <v>16</v>
      </c>
      <c r="G1" s="3" t="s">
        <v>15</v>
      </c>
      <c r="H1" s="3" t="s">
        <v>22</v>
      </c>
      <c r="I1" s="13" t="s">
        <v>39</v>
      </c>
      <c r="J1" s="6" t="s">
        <v>8</v>
      </c>
      <c r="K1" s="6" t="s">
        <v>9</v>
      </c>
      <c r="L1" s="6" t="s">
        <v>10</v>
      </c>
      <c r="M1" s="6" t="s">
        <v>37</v>
      </c>
      <c r="N1" s="6" t="s">
        <v>40</v>
      </c>
      <c r="O1" s="6" t="s">
        <v>41</v>
      </c>
    </row>
    <row r="2" spans="1:16">
      <c r="B2" s="14"/>
      <c r="C2" s="3">
        <v>8852</v>
      </c>
      <c r="D2" s="3" t="s">
        <v>20</v>
      </c>
      <c r="E2" s="1">
        <v>8047</v>
      </c>
      <c r="F2" s="1">
        <f>+E2*19</f>
        <v>152893</v>
      </c>
      <c r="G2" s="1">
        <v>622</v>
      </c>
      <c r="H2" s="1">
        <f>+F2*G2</f>
        <v>95099446</v>
      </c>
      <c r="I2" s="13"/>
      <c r="J2" s="1">
        <v>5802</v>
      </c>
      <c r="K2" s="1">
        <v>599</v>
      </c>
      <c r="L2" s="1">
        <v>720</v>
      </c>
      <c r="M2" s="1">
        <f>SUM(J2:L2)</f>
        <v>7121</v>
      </c>
      <c r="N2" s="1">
        <f>+E2-M2</f>
        <v>926</v>
      </c>
      <c r="O2" s="1">
        <f>+N2*G2</f>
        <v>575972</v>
      </c>
    </row>
    <row r="3" spans="1:16">
      <c r="B3" s="14"/>
      <c r="C3" s="3">
        <v>3585</v>
      </c>
      <c r="D3" s="3" t="s">
        <v>19</v>
      </c>
      <c r="E3" s="1">
        <v>2229</v>
      </c>
      <c r="F3" s="1">
        <f t="shared" ref="F3:F5" si="0">+E3*19</f>
        <v>42351</v>
      </c>
      <c r="G3" s="1">
        <v>1285</v>
      </c>
      <c r="H3" s="1">
        <f t="shared" ref="H3:H5" si="1">+F3*G3</f>
        <v>54421035</v>
      </c>
      <c r="I3" s="13"/>
      <c r="J3" s="1">
        <v>1677</v>
      </c>
      <c r="K3" s="1">
        <v>145</v>
      </c>
      <c r="L3" s="1">
        <v>199</v>
      </c>
      <c r="M3" s="1">
        <f t="shared" ref="M3:M5" si="2">SUM(J3:L3)</f>
        <v>2021</v>
      </c>
      <c r="N3" s="1">
        <f>+E3-M3</f>
        <v>208</v>
      </c>
      <c r="O3" s="1">
        <f>+N3*G3</f>
        <v>267280</v>
      </c>
    </row>
    <row r="4" spans="1:16">
      <c r="B4" s="14"/>
      <c r="C4" s="3">
        <v>90</v>
      </c>
      <c r="D4" s="3" t="s">
        <v>18</v>
      </c>
      <c r="E4" s="1">
        <v>90</v>
      </c>
      <c r="F4" s="1">
        <f t="shared" si="0"/>
        <v>1710</v>
      </c>
      <c r="G4" s="1">
        <v>3814</v>
      </c>
      <c r="H4" s="1">
        <f t="shared" si="1"/>
        <v>6521940</v>
      </c>
      <c r="I4" s="13"/>
      <c r="J4" s="1">
        <v>90</v>
      </c>
      <c r="K4" s="1">
        <v>0</v>
      </c>
      <c r="L4" s="1">
        <v>0</v>
      </c>
      <c r="M4" s="1">
        <f t="shared" si="2"/>
        <v>90</v>
      </c>
      <c r="N4" s="1">
        <f t="shared" ref="N4:N5" si="3">+E4-M4</f>
        <v>0</v>
      </c>
      <c r="O4" s="1">
        <f t="shared" ref="O4:O5" si="4">+N4*G4</f>
        <v>0</v>
      </c>
    </row>
    <row r="5" spans="1:16">
      <c r="B5" s="14"/>
      <c r="C5" s="3">
        <v>36</v>
      </c>
      <c r="D5" s="3" t="s">
        <v>14</v>
      </c>
      <c r="E5" s="1">
        <v>36</v>
      </c>
      <c r="F5" s="1">
        <f t="shared" si="0"/>
        <v>684</v>
      </c>
      <c r="G5" s="1">
        <v>622</v>
      </c>
      <c r="H5" s="1">
        <f t="shared" si="1"/>
        <v>425448</v>
      </c>
      <c r="I5" s="13"/>
      <c r="J5" s="1">
        <v>36</v>
      </c>
      <c r="K5" s="1">
        <v>0</v>
      </c>
      <c r="L5" s="1">
        <v>0</v>
      </c>
      <c r="M5" s="1">
        <f t="shared" si="2"/>
        <v>36</v>
      </c>
      <c r="N5" s="1">
        <f t="shared" si="3"/>
        <v>0</v>
      </c>
      <c r="O5" s="1">
        <f t="shared" si="4"/>
        <v>0</v>
      </c>
    </row>
    <row r="6" spans="1:16">
      <c r="O6">
        <f>+O2+O3+O4+O5</f>
        <v>843252</v>
      </c>
    </row>
    <row r="7" spans="1:16">
      <c r="A7" s="3" t="s">
        <v>0</v>
      </c>
      <c r="B7" s="3" t="s">
        <v>2</v>
      </c>
      <c r="C7" s="3" t="s">
        <v>1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16">
      <c r="A8" s="14" t="s">
        <v>42</v>
      </c>
      <c r="B8" s="2" t="s">
        <v>43</v>
      </c>
      <c r="C8" s="1">
        <v>13</v>
      </c>
      <c r="D8" s="1">
        <v>24465993</v>
      </c>
      <c r="E8" s="1">
        <v>2811081</v>
      </c>
      <c r="F8" s="1">
        <v>3038629</v>
      </c>
      <c r="G8" s="1">
        <f>SUM(D8:F8)</f>
        <v>30315703</v>
      </c>
      <c r="H8" s="15">
        <f>SUM(H2:H5)</f>
        <v>156467869</v>
      </c>
      <c r="I8" s="16">
        <f>SUM(H8,-G13)</f>
        <v>126152166</v>
      </c>
    </row>
    <row r="9" spans="1:16">
      <c r="A9" s="14"/>
      <c r="B9" s="1" t="s">
        <v>44</v>
      </c>
      <c r="C9" s="1">
        <v>14</v>
      </c>
      <c r="D9" s="1"/>
      <c r="E9" s="1"/>
      <c r="F9" s="1"/>
      <c r="G9" s="1">
        <f t="shared" ref="G9:G12" si="5">SUM(D9:F9)</f>
        <v>0</v>
      </c>
      <c r="H9" s="15"/>
      <c r="I9" s="16"/>
    </row>
    <row r="10" spans="1:16">
      <c r="A10" s="14"/>
      <c r="B10" s="1" t="s">
        <v>45</v>
      </c>
      <c r="C10" s="1">
        <v>15</v>
      </c>
      <c r="D10" s="1"/>
      <c r="E10" s="1"/>
      <c r="F10" s="1"/>
      <c r="G10" s="1">
        <f t="shared" si="5"/>
        <v>0</v>
      </c>
      <c r="H10" s="15"/>
      <c r="I10" s="16"/>
    </row>
    <row r="11" spans="1:16">
      <c r="A11" s="14"/>
      <c r="B11" s="1" t="s">
        <v>46</v>
      </c>
      <c r="C11" s="1">
        <v>16</v>
      </c>
      <c r="D11" s="1"/>
      <c r="E11" s="1"/>
      <c r="F11" s="1"/>
      <c r="G11" s="1">
        <f t="shared" si="5"/>
        <v>0</v>
      </c>
      <c r="H11" s="15"/>
      <c r="I11" s="16"/>
    </row>
    <row r="12" spans="1:16">
      <c r="A12" s="14"/>
      <c r="B12" s="1" t="s">
        <v>47</v>
      </c>
      <c r="C12" s="1">
        <v>17</v>
      </c>
      <c r="D12" s="7"/>
      <c r="E12" s="7"/>
      <c r="F12" s="7"/>
      <c r="G12" s="7">
        <f t="shared" si="5"/>
        <v>0</v>
      </c>
      <c r="H12" s="15"/>
      <c r="I12" s="16"/>
    </row>
    <row r="13" spans="1:16">
      <c r="A13" s="1"/>
      <c r="B13" s="1"/>
      <c r="C13" s="1"/>
      <c r="D13" s="1"/>
      <c r="E13" s="1"/>
      <c r="F13" s="3" t="s">
        <v>11</v>
      </c>
      <c r="G13" s="1">
        <f>SUM(G8:G12)</f>
        <v>30315703</v>
      </c>
      <c r="H13" s="1"/>
      <c r="I13" s="1"/>
    </row>
    <row r="15" spans="1:16">
      <c r="D15" s="9" t="s">
        <v>8</v>
      </c>
      <c r="E15" s="9"/>
      <c r="F15" s="9"/>
      <c r="G15" s="9"/>
      <c r="H15" s="9"/>
      <c r="I15" s="9" t="s">
        <v>9</v>
      </c>
      <c r="J15" s="9"/>
      <c r="K15" s="9"/>
      <c r="L15" s="9"/>
      <c r="M15" s="9" t="s">
        <v>10</v>
      </c>
      <c r="N15" s="9"/>
      <c r="O15" s="9"/>
      <c r="P15" s="9"/>
    </row>
    <row r="16" spans="1:16"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  <c r="J16" s="3" t="s">
        <v>29</v>
      </c>
      <c r="K16" s="3" t="s">
        <v>30</v>
      </c>
      <c r="L16" s="3" t="s">
        <v>26</v>
      </c>
      <c r="M16" s="3" t="s">
        <v>31</v>
      </c>
      <c r="N16" s="3" t="s">
        <v>26</v>
      </c>
      <c r="O16" s="3" t="s">
        <v>25</v>
      </c>
      <c r="P16" s="3" t="s">
        <v>30</v>
      </c>
    </row>
    <row r="17" spans="1:17">
      <c r="A17" s="3" t="s">
        <v>0</v>
      </c>
      <c r="B17" s="3" t="s">
        <v>2</v>
      </c>
      <c r="C17" s="4" t="s">
        <v>1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35</v>
      </c>
      <c r="I17" s="3" t="s">
        <v>34</v>
      </c>
      <c r="J17" s="3" t="s">
        <v>33</v>
      </c>
      <c r="K17" s="3" t="s">
        <v>32</v>
      </c>
      <c r="L17" s="3" t="s">
        <v>35</v>
      </c>
      <c r="M17" s="3" t="s">
        <v>33</v>
      </c>
      <c r="N17" s="3" t="s">
        <v>35</v>
      </c>
      <c r="O17" s="3" t="s">
        <v>36</v>
      </c>
      <c r="P17" s="3" t="s">
        <v>32</v>
      </c>
      <c r="Q17" s="6" t="s">
        <v>37</v>
      </c>
    </row>
    <row r="18" spans="1:17" ht="15.75">
      <c r="A18" s="10" t="s">
        <v>42</v>
      </c>
      <c r="B18" s="2" t="s">
        <v>43</v>
      </c>
      <c r="C18" s="5">
        <v>13</v>
      </c>
      <c r="D18" s="1">
        <v>5983953</v>
      </c>
      <c r="E18" s="1">
        <v>6414400</v>
      </c>
      <c r="F18" s="1">
        <v>7357840</v>
      </c>
      <c r="G18" s="1">
        <v>2761000</v>
      </c>
      <c r="H18" s="1">
        <v>1948800</v>
      </c>
      <c r="I18" s="1">
        <v>704160</v>
      </c>
      <c r="J18" s="1">
        <v>748000</v>
      </c>
      <c r="K18" s="1">
        <v>937921</v>
      </c>
      <c r="L18" s="1">
        <v>421000</v>
      </c>
      <c r="M18" s="8">
        <v>835800</v>
      </c>
      <c r="N18" s="1">
        <v>575500</v>
      </c>
      <c r="O18" s="8">
        <v>762800</v>
      </c>
      <c r="P18" s="1">
        <v>864529</v>
      </c>
      <c r="Q18" s="1">
        <f>SUM(D18:P18)</f>
        <v>30315703</v>
      </c>
    </row>
    <row r="19" spans="1:17">
      <c r="A19" s="11"/>
      <c r="B19" s="1" t="s">
        <v>44</v>
      </c>
      <c r="C19" s="5">
        <v>14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f t="shared" ref="Q19:Q22" si="6">SUM(D19:P19)</f>
        <v>0</v>
      </c>
    </row>
    <row r="20" spans="1:17">
      <c r="A20" s="11"/>
      <c r="B20" s="1" t="s">
        <v>45</v>
      </c>
      <c r="C20" s="5">
        <v>15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f t="shared" si="6"/>
        <v>0</v>
      </c>
    </row>
    <row r="21" spans="1:17">
      <c r="A21" s="12"/>
      <c r="B21" s="1" t="s">
        <v>46</v>
      </c>
      <c r="C21" s="5">
        <v>16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f t="shared" si="6"/>
        <v>0</v>
      </c>
    </row>
    <row r="22" spans="1:17">
      <c r="A22" s="1"/>
      <c r="B22" s="1" t="s">
        <v>47</v>
      </c>
      <c r="C22" s="5">
        <v>17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7">
        <f t="shared" si="6"/>
        <v>0</v>
      </c>
    </row>
    <row r="23" spans="1:17">
      <c r="C23" s="3" t="s">
        <v>37</v>
      </c>
      <c r="D23" s="1">
        <f t="shared" ref="D23:E23" si="7">SUM(D18:D22)</f>
        <v>5983953</v>
      </c>
      <c r="E23" s="1">
        <f t="shared" si="7"/>
        <v>6414400</v>
      </c>
      <c r="F23" s="1">
        <f t="shared" ref="F23:P23" si="8">SUM(F18:F22)</f>
        <v>7357840</v>
      </c>
      <c r="G23" s="1">
        <f t="shared" si="8"/>
        <v>2761000</v>
      </c>
      <c r="H23" s="1">
        <f t="shared" si="8"/>
        <v>1948800</v>
      </c>
      <c r="I23" s="1">
        <f t="shared" si="8"/>
        <v>704160</v>
      </c>
      <c r="J23" s="1">
        <f t="shared" si="8"/>
        <v>748000</v>
      </c>
      <c r="K23" s="1">
        <f t="shared" si="8"/>
        <v>937921</v>
      </c>
      <c r="L23" s="1">
        <f t="shared" si="8"/>
        <v>421000</v>
      </c>
      <c r="M23" s="1">
        <f t="shared" si="8"/>
        <v>835800</v>
      </c>
      <c r="N23" s="1">
        <f t="shared" si="8"/>
        <v>575500</v>
      </c>
      <c r="O23" s="1">
        <f t="shared" si="8"/>
        <v>762800</v>
      </c>
      <c r="P23" s="1">
        <f t="shared" si="8"/>
        <v>864529</v>
      </c>
      <c r="Q23" s="1">
        <f>SUM(D23:P23)</f>
        <v>30315703</v>
      </c>
    </row>
  </sheetData>
  <mergeCells count="9">
    <mergeCell ref="M15:P15"/>
    <mergeCell ref="A18:A21"/>
    <mergeCell ref="B1:B5"/>
    <mergeCell ref="I1:I5"/>
    <mergeCell ref="A8:A12"/>
    <mergeCell ref="H8:H12"/>
    <mergeCell ref="I8:I12"/>
    <mergeCell ref="D15:H15"/>
    <mergeCell ref="I15:L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>
      <selection sqref="A1:R24"/>
    </sheetView>
  </sheetViews>
  <sheetFormatPr baseColWidth="10" defaultRowHeight="15"/>
  <sheetData>
    <row r="1" spans="1:17">
      <c r="B1" s="14" t="s">
        <v>12</v>
      </c>
      <c r="C1" s="3" t="s">
        <v>21</v>
      </c>
      <c r="D1" s="3" t="s">
        <v>38</v>
      </c>
      <c r="E1" s="3" t="s">
        <v>17</v>
      </c>
      <c r="F1" s="3" t="s">
        <v>16</v>
      </c>
      <c r="G1" s="3" t="s">
        <v>15</v>
      </c>
      <c r="H1" s="3" t="s">
        <v>22</v>
      </c>
      <c r="I1" s="13" t="s">
        <v>39</v>
      </c>
      <c r="J1" s="6" t="s">
        <v>8</v>
      </c>
      <c r="K1" s="6" t="s">
        <v>9</v>
      </c>
      <c r="L1" s="6" t="s">
        <v>10</v>
      </c>
      <c r="M1" s="6" t="s">
        <v>37</v>
      </c>
      <c r="N1" s="6" t="s">
        <v>40</v>
      </c>
      <c r="O1" s="6" t="s">
        <v>41</v>
      </c>
    </row>
    <row r="2" spans="1:17">
      <c r="B2" s="14"/>
      <c r="C2" s="3">
        <v>8852</v>
      </c>
      <c r="D2" s="3" t="s">
        <v>20</v>
      </c>
      <c r="E2" s="1">
        <v>8047</v>
      </c>
      <c r="F2" s="1">
        <v>154945</v>
      </c>
      <c r="G2" s="1">
        <v>622</v>
      </c>
      <c r="H2" s="1">
        <f>+F2*G2</f>
        <v>96375790</v>
      </c>
      <c r="I2" s="13"/>
      <c r="J2" s="1">
        <v>5802</v>
      </c>
      <c r="K2" s="1">
        <v>599</v>
      </c>
      <c r="L2" s="1">
        <v>720</v>
      </c>
      <c r="M2" s="1">
        <f>SUM(J2:L2)</f>
        <v>7121</v>
      </c>
      <c r="N2" s="1">
        <f>+E2-M2</f>
        <v>926</v>
      </c>
      <c r="O2" s="1">
        <f>+N2*G2</f>
        <v>575972</v>
      </c>
    </row>
    <row r="3" spans="1:17">
      <c r="B3" s="14"/>
      <c r="C3" s="3">
        <v>3585</v>
      </c>
      <c r="D3" s="3" t="s">
        <v>19</v>
      </c>
      <c r="E3" s="1">
        <v>2229</v>
      </c>
      <c r="F3" s="1">
        <v>44600</v>
      </c>
      <c r="G3" s="1">
        <v>1285</v>
      </c>
      <c r="H3" s="1">
        <f t="shared" ref="H3:H5" si="0">+F3*G3</f>
        <v>57311000</v>
      </c>
      <c r="I3" s="13"/>
      <c r="J3" s="1">
        <v>1677</v>
      </c>
      <c r="K3" s="1">
        <v>145</v>
      </c>
      <c r="L3" s="1">
        <v>199</v>
      </c>
      <c r="M3" s="1">
        <f t="shared" ref="M3:M5" si="1">SUM(J3:L3)</f>
        <v>2021</v>
      </c>
      <c r="N3" s="1">
        <f>+E3-M3</f>
        <v>208</v>
      </c>
      <c r="O3" s="1">
        <f>+N3*G3</f>
        <v>267280</v>
      </c>
    </row>
    <row r="4" spans="1:17">
      <c r="B4" s="14"/>
      <c r="C4" s="3">
        <v>90</v>
      </c>
      <c r="D4" s="3" t="s">
        <v>18</v>
      </c>
      <c r="E4" s="1">
        <v>90</v>
      </c>
      <c r="F4" s="1">
        <v>1800</v>
      </c>
      <c r="G4" s="1">
        <v>3814</v>
      </c>
      <c r="H4" s="1">
        <f t="shared" si="0"/>
        <v>6865200</v>
      </c>
      <c r="I4" s="13"/>
      <c r="J4" s="1">
        <v>90</v>
      </c>
      <c r="K4" s="1">
        <v>0</v>
      </c>
      <c r="L4" s="1">
        <v>0</v>
      </c>
      <c r="M4" s="1">
        <f t="shared" si="1"/>
        <v>90</v>
      </c>
      <c r="N4" s="1">
        <f t="shared" ref="N4:N5" si="2">+E4-M4</f>
        <v>0</v>
      </c>
      <c r="O4" s="1">
        <f t="shared" ref="O4:O5" si="3">+N4*G4</f>
        <v>0</v>
      </c>
    </row>
    <row r="5" spans="1:17">
      <c r="B5" s="14"/>
      <c r="C5" s="3">
        <v>36</v>
      </c>
      <c r="D5" s="3" t="s">
        <v>14</v>
      </c>
      <c r="E5" s="1">
        <v>36</v>
      </c>
      <c r="F5" s="1">
        <v>144</v>
      </c>
      <c r="G5" s="1">
        <v>622</v>
      </c>
      <c r="H5" s="1">
        <f t="shared" si="0"/>
        <v>89568</v>
      </c>
      <c r="I5" s="13"/>
      <c r="J5" s="1">
        <v>36</v>
      </c>
      <c r="K5" s="1">
        <v>0</v>
      </c>
      <c r="L5" s="1">
        <v>0</v>
      </c>
      <c r="M5" s="1">
        <f t="shared" si="1"/>
        <v>36</v>
      </c>
      <c r="N5" s="1">
        <f t="shared" si="2"/>
        <v>0</v>
      </c>
      <c r="O5" s="1">
        <f t="shared" si="3"/>
        <v>0</v>
      </c>
    </row>
    <row r="6" spans="1:17">
      <c r="O6">
        <f>+O2+O3+O4+O5</f>
        <v>843252</v>
      </c>
    </row>
    <row r="7" spans="1:17">
      <c r="A7" s="3" t="s">
        <v>0</v>
      </c>
      <c r="B7" s="3" t="s">
        <v>2</v>
      </c>
      <c r="C7" s="3" t="s">
        <v>1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17">
      <c r="A8" s="14"/>
      <c r="B8" s="2"/>
      <c r="C8" s="1"/>
      <c r="D8" s="1"/>
      <c r="E8" s="1"/>
      <c r="F8" s="1"/>
      <c r="G8" s="1">
        <f>SUM(D8:F8)</f>
        <v>0</v>
      </c>
      <c r="H8" s="15">
        <f>SUM(H2:H5)</f>
        <v>160641558</v>
      </c>
      <c r="I8" s="16">
        <f>SUM(H8,-G12)</f>
        <v>160641558</v>
      </c>
    </row>
    <row r="9" spans="1:17">
      <c r="A9" s="14"/>
      <c r="B9" s="1"/>
      <c r="C9" s="1"/>
      <c r="D9" s="1"/>
      <c r="E9" s="1"/>
      <c r="F9" s="1"/>
      <c r="G9" s="1">
        <f t="shared" ref="G9:G11" si="4">SUM(D9:F9)</f>
        <v>0</v>
      </c>
      <c r="H9" s="15"/>
      <c r="I9" s="16"/>
    </row>
    <row r="10" spans="1:17">
      <c r="A10" s="14"/>
      <c r="B10" s="1"/>
      <c r="C10" s="1"/>
      <c r="D10" s="1"/>
      <c r="E10" s="1"/>
      <c r="F10" s="1"/>
      <c r="G10" s="1">
        <f t="shared" si="4"/>
        <v>0</v>
      </c>
      <c r="H10" s="15"/>
      <c r="I10" s="16"/>
    </row>
    <row r="11" spans="1:17">
      <c r="A11" s="14"/>
      <c r="B11" s="1"/>
      <c r="C11" s="1"/>
      <c r="D11" s="7"/>
      <c r="E11" s="7"/>
      <c r="F11" s="7"/>
      <c r="G11" s="7">
        <f t="shared" si="4"/>
        <v>0</v>
      </c>
      <c r="H11" s="15"/>
      <c r="I11" s="16"/>
    </row>
    <row r="12" spans="1:17">
      <c r="A12" s="1"/>
      <c r="B12" s="1"/>
      <c r="C12" s="1"/>
      <c r="D12" s="1"/>
      <c r="E12" s="1"/>
      <c r="F12" s="3" t="s">
        <v>11</v>
      </c>
      <c r="G12" s="1">
        <f>SUM(G8:G11)</f>
        <v>0</v>
      </c>
      <c r="H12" s="1"/>
      <c r="I12" s="1"/>
    </row>
    <row r="14" spans="1:17">
      <c r="D14" s="9" t="s">
        <v>8</v>
      </c>
      <c r="E14" s="9"/>
      <c r="F14" s="9"/>
      <c r="G14" s="9"/>
      <c r="H14" s="9"/>
      <c r="I14" s="9" t="s">
        <v>9</v>
      </c>
      <c r="J14" s="9"/>
      <c r="K14" s="9"/>
      <c r="L14" s="9"/>
      <c r="M14" s="9" t="s">
        <v>10</v>
      </c>
      <c r="N14" s="9"/>
      <c r="O14" s="9"/>
      <c r="P14" s="9"/>
    </row>
    <row r="15" spans="1:17"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J15" s="3" t="s">
        <v>29</v>
      </c>
      <c r="K15" s="3" t="s">
        <v>30</v>
      </c>
      <c r="L15" s="3" t="s">
        <v>26</v>
      </c>
      <c r="M15" s="3" t="s">
        <v>31</v>
      </c>
      <c r="N15" s="3" t="s">
        <v>26</v>
      </c>
      <c r="O15" s="3" t="s">
        <v>25</v>
      </c>
      <c r="P15" s="3" t="s">
        <v>30</v>
      </c>
    </row>
    <row r="16" spans="1:17">
      <c r="A16" s="3" t="s">
        <v>0</v>
      </c>
      <c r="B16" s="3" t="s">
        <v>2</v>
      </c>
      <c r="C16" s="4" t="s">
        <v>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34</v>
      </c>
      <c r="J16" s="3" t="s">
        <v>33</v>
      </c>
      <c r="K16" s="3" t="s">
        <v>32</v>
      </c>
      <c r="L16" s="3" t="s">
        <v>35</v>
      </c>
      <c r="M16" s="3" t="s">
        <v>33</v>
      </c>
      <c r="N16" s="3" t="s">
        <v>35</v>
      </c>
      <c r="O16" s="3" t="s">
        <v>36</v>
      </c>
      <c r="P16" s="3" t="s">
        <v>32</v>
      </c>
      <c r="Q16" s="6" t="s">
        <v>37</v>
      </c>
    </row>
    <row r="17" spans="1:17">
      <c r="A17" s="10"/>
      <c r="B17" s="2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f>SUM(D17:P17)</f>
        <v>0</v>
      </c>
    </row>
    <row r="18" spans="1:17">
      <c r="A18" s="1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f t="shared" ref="Q18:Q20" si="5">SUM(D18:P18)</f>
        <v>0</v>
      </c>
    </row>
    <row r="19" spans="1:17">
      <c r="A19" s="1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f t="shared" si="5"/>
        <v>0</v>
      </c>
    </row>
    <row r="20" spans="1:17">
      <c r="A20" s="12"/>
      <c r="B20" s="1"/>
      <c r="C20" s="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>
        <f t="shared" si="5"/>
        <v>0</v>
      </c>
    </row>
    <row r="21" spans="1:17">
      <c r="A21" s="1"/>
      <c r="B21" s="1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C22" s="3" t="s">
        <v>37</v>
      </c>
      <c r="D22" s="1">
        <f t="shared" ref="D22:P22" si="6">SUM(D17:D21)</f>
        <v>0</v>
      </c>
      <c r="E22" s="1">
        <f t="shared" si="6"/>
        <v>0</v>
      </c>
      <c r="F22" s="1">
        <f t="shared" si="6"/>
        <v>0</v>
      </c>
      <c r="G22" s="1">
        <f t="shared" si="6"/>
        <v>0</v>
      </c>
      <c r="H22" s="1">
        <f t="shared" si="6"/>
        <v>0</v>
      </c>
      <c r="I22" s="1">
        <f t="shared" si="6"/>
        <v>0</v>
      </c>
      <c r="J22" s="1">
        <f t="shared" si="6"/>
        <v>0</v>
      </c>
      <c r="K22" s="1">
        <f t="shared" si="6"/>
        <v>0</v>
      </c>
      <c r="L22" s="1">
        <f t="shared" si="6"/>
        <v>0</v>
      </c>
      <c r="M22" s="1">
        <f t="shared" si="6"/>
        <v>0</v>
      </c>
      <c r="N22" s="1">
        <f t="shared" si="6"/>
        <v>0</v>
      </c>
      <c r="O22" s="1">
        <f t="shared" si="6"/>
        <v>0</v>
      </c>
      <c r="P22" s="1">
        <f t="shared" si="6"/>
        <v>0</v>
      </c>
      <c r="Q22" s="1">
        <f>SUM(D22:P22)</f>
        <v>0</v>
      </c>
    </row>
  </sheetData>
  <mergeCells count="9">
    <mergeCell ref="M14:P14"/>
    <mergeCell ref="A17:A20"/>
    <mergeCell ref="B1:B5"/>
    <mergeCell ref="I1:I5"/>
    <mergeCell ref="A8:A11"/>
    <mergeCell ref="H8:H11"/>
    <mergeCell ref="I8:I11"/>
    <mergeCell ref="D14:H14"/>
    <mergeCell ref="I14:L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"/>
  <sheetViews>
    <sheetView workbookViewId="0">
      <selection activeCell="C2" sqref="C2"/>
    </sheetView>
  </sheetViews>
  <sheetFormatPr baseColWidth="10" defaultRowHeight="15"/>
  <sheetData>
    <row r="1" spans="1:16">
      <c r="B1" s="14" t="s">
        <v>12</v>
      </c>
      <c r="C1" s="3" t="s">
        <v>21</v>
      </c>
      <c r="D1" s="3" t="s">
        <v>38</v>
      </c>
      <c r="E1" s="3" t="s">
        <v>17</v>
      </c>
      <c r="F1" s="3" t="s">
        <v>16</v>
      </c>
      <c r="G1" s="3" t="s">
        <v>15</v>
      </c>
      <c r="H1" s="3" t="s">
        <v>22</v>
      </c>
      <c r="I1" s="13" t="s">
        <v>39</v>
      </c>
      <c r="J1" s="6" t="s">
        <v>8</v>
      </c>
      <c r="K1" s="6" t="s">
        <v>9</v>
      </c>
      <c r="L1" s="6" t="s">
        <v>10</v>
      </c>
      <c r="M1" s="6" t="s">
        <v>37</v>
      </c>
      <c r="N1" s="6" t="s">
        <v>40</v>
      </c>
      <c r="O1" s="6" t="s">
        <v>41</v>
      </c>
    </row>
    <row r="2" spans="1:16">
      <c r="B2" s="14"/>
      <c r="C2" s="3">
        <v>8852</v>
      </c>
      <c r="D2" s="3" t="s">
        <v>20</v>
      </c>
      <c r="E2" s="1">
        <v>8047</v>
      </c>
      <c r="F2" s="1">
        <v>154945</v>
      </c>
      <c r="G2" s="1">
        <v>622</v>
      </c>
      <c r="H2" s="1">
        <f>+F2*G2</f>
        <v>96375790</v>
      </c>
      <c r="I2" s="13"/>
      <c r="J2" s="1">
        <v>5802</v>
      </c>
      <c r="K2" s="1">
        <v>599</v>
      </c>
      <c r="L2" s="1">
        <v>720</v>
      </c>
      <c r="M2" s="1">
        <f>SUM(J2:L2)</f>
        <v>7121</v>
      </c>
      <c r="N2" s="1">
        <f>+E2-M2</f>
        <v>926</v>
      </c>
      <c r="O2" s="1">
        <f>+N2*G2</f>
        <v>575972</v>
      </c>
    </row>
    <row r="3" spans="1:16">
      <c r="B3" s="14"/>
      <c r="C3" s="3">
        <v>3585</v>
      </c>
      <c r="D3" s="3" t="s">
        <v>19</v>
      </c>
      <c r="E3" s="1">
        <v>2229</v>
      </c>
      <c r="F3" s="1">
        <v>44600</v>
      </c>
      <c r="G3" s="1">
        <v>1285</v>
      </c>
      <c r="H3" s="1">
        <f t="shared" ref="H3:H5" si="0">+F3*G3</f>
        <v>57311000</v>
      </c>
      <c r="I3" s="13"/>
      <c r="J3" s="1">
        <v>1677</v>
      </c>
      <c r="K3" s="1">
        <v>145</v>
      </c>
      <c r="L3" s="1">
        <v>199</v>
      </c>
      <c r="M3" s="1">
        <f t="shared" ref="M3:M5" si="1">SUM(J3:L3)</f>
        <v>2021</v>
      </c>
      <c r="N3" s="1">
        <f>+E3-M3</f>
        <v>208</v>
      </c>
      <c r="O3" s="1">
        <f>+N3*G3</f>
        <v>267280</v>
      </c>
    </row>
    <row r="4" spans="1:16">
      <c r="B4" s="14"/>
      <c r="C4" s="3">
        <v>90</v>
      </c>
      <c r="D4" s="3" t="s">
        <v>18</v>
      </c>
      <c r="E4" s="1">
        <v>90</v>
      </c>
      <c r="F4" s="1">
        <v>1800</v>
      </c>
      <c r="G4" s="1">
        <v>3814</v>
      </c>
      <c r="H4" s="1">
        <f t="shared" si="0"/>
        <v>6865200</v>
      </c>
      <c r="I4" s="13"/>
      <c r="J4" s="1">
        <v>90</v>
      </c>
      <c r="K4" s="1">
        <v>0</v>
      </c>
      <c r="L4" s="1">
        <v>0</v>
      </c>
      <c r="M4" s="1">
        <f t="shared" si="1"/>
        <v>90</v>
      </c>
      <c r="N4" s="1">
        <f t="shared" ref="N4:N5" si="2">+E4-M4</f>
        <v>0</v>
      </c>
      <c r="O4" s="1">
        <f t="shared" ref="O4:O5" si="3">+N4*G4</f>
        <v>0</v>
      </c>
    </row>
    <row r="5" spans="1:16">
      <c r="B5" s="14"/>
      <c r="C5" s="3">
        <v>36</v>
      </c>
      <c r="D5" s="3" t="s">
        <v>14</v>
      </c>
      <c r="E5" s="1">
        <v>36</v>
      </c>
      <c r="F5" s="1">
        <v>144</v>
      </c>
      <c r="G5" s="1">
        <v>622</v>
      </c>
      <c r="H5" s="1">
        <f t="shared" si="0"/>
        <v>89568</v>
      </c>
      <c r="I5" s="13"/>
      <c r="J5" s="1">
        <v>36</v>
      </c>
      <c r="K5" s="1">
        <v>0</v>
      </c>
      <c r="L5" s="1">
        <v>0</v>
      </c>
      <c r="M5" s="1">
        <f t="shared" si="1"/>
        <v>36</v>
      </c>
      <c r="N5" s="1">
        <f t="shared" si="2"/>
        <v>0</v>
      </c>
      <c r="O5" s="1">
        <f t="shared" si="3"/>
        <v>0</v>
      </c>
    </row>
    <row r="6" spans="1:16">
      <c r="O6">
        <f>+O2+O3+O4+O5</f>
        <v>843252</v>
      </c>
    </row>
    <row r="7" spans="1:16">
      <c r="A7" s="3" t="s">
        <v>0</v>
      </c>
      <c r="B7" s="3" t="s">
        <v>2</v>
      </c>
      <c r="C7" s="3" t="s">
        <v>1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</row>
    <row r="8" spans="1:16">
      <c r="A8" s="10"/>
      <c r="B8" s="2"/>
      <c r="C8" s="1"/>
      <c r="D8" s="1"/>
      <c r="E8" s="1"/>
      <c r="F8" s="1"/>
      <c r="G8" s="1">
        <f>SUM(D8:F8)</f>
        <v>0</v>
      </c>
      <c r="H8" s="15">
        <f>SUM(H2:H5)</f>
        <v>160641558</v>
      </c>
      <c r="I8" s="16">
        <f>SUM(H8,-G13)</f>
        <v>160641558</v>
      </c>
    </row>
    <row r="9" spans="1:16">
      <c r="A9" s="11"/>
      <c r="B9" s="1"/>
      <c r="C9" s="1"/>
      <c r="D9" s="1"/>
      <c r="E9" s="1"/>
      <c r="F9" s="1"/>
      <c r="G9" s="1">
        <f t="shared" ref="G9:G11" si="4">SUM(D9:F9)</f>
        <v>0</v>
      </c>
      <c r="H9" s="15"/>
      <c r="I9" s="16"/>
    </row>
    <row r="10" spans="1:16">
      <c r="A10" s="11"/>
      <c r="B10" s="1"/>
      <c r="C10" s="1"/>
      <c r="D10" s="1"/>
      <c r="E10" s="1"/>
      <c r="F10" s="1"/>
      <c r="G10" s="1">
        <f t="shared" si="4"/>
        <v>0</v>
      </c>
      <c r="H10" s="15"/>
      <c r="I10" s="16"/>
    </row>
    <row r="11" spans="1:16">
      <c r="A11" s="11"/>
      <c r="B11" s="1"/>
      <c r="C11" s="1"/>
      <c r="D11" s="1"/>
      <c r="E11" s="1"/>
      <c r="F11" s="1"/>
      <c r="G11" s="1">
        <f t="shared" si="4"/>
        <v>0</v>
      </c>
      <c r="H11" s="15"/>
      <c r="I11" s="16"/>
    </row>
    <row r="12" spans="1:16">
      <c r="A12" s="11"/>
      <c r="B12" s="1"/>
      <c r="C12" s="1"/>
      <c r="D12" s="7"/>
      <c r="E12" s="7"/>
      <c r="F12" s="7"/>
      <c r="G12" s="7">
        <f>SUM(D12:F12)</f>
        <v>0</v>
      </c>
      <c r="H12" s="15"/>
      <c r="I12" s="16"/>
    </row>
    <row r="13" spans="1:16">
      <c r="A13" s="12"/>
      <c r="B13" s="1"/>
      <c r="C13" s="1"/>
      <c r="D13" s="1"/>
      <c r="E13" s="1"/>
      <c r="F13" s="3" t="s">
        <v>11</v>
      </c>
      <c r="G13" s="1">
        <f>SUM(G8:G12)</f>
        <v>0</v>
      </c>
      <c r="H13" s="1"/>
      <c r="I13" s="1"/>
    </row>
    <row r="15" spans="1:16">
      <c r="D15" s="9" t="s">
        <v>8</v>
      </c>
      <c r="E15" s="9"/>
      <c r="F15" s="9"/>
      <c r="G15" s="9"/>
      <c r="H15" s="9"/>
      <c r="I15" s="9" t="s">
        <v>9</v>
      </c>
      <c r="J15" s="9"/>
      <c r="K15" s="9"/>
      <c r="L15" s="9"/>
      <c r="M15" s="9" t="s">
        <v>10</v>
      </c>
      <c r="N15" s="9"/>
      <c r="O15" s="9"/>
      <c r="P15" s="9"/>
    </row>
    <row r="16" spans="1:16"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3" t="s">
        <v>28</v>
      </c>
      <c r="J16" s="3" t="s">
        <v>29</v>
      </c>
      <c r="K16" s="3" t="s">
        <v>30</v>
      </c>
      <c r="L16" s="3" t="s">
        <v>26</v>
      </c>
      <c r="M16" s="3" t="s">
        <v>31</v>
      </c>
      <c r="N16" s="3" t="s">
        <v>26</v>
      </c>
      <c r="O16" s="3" t="s">
        <v>25</v>
      </c>
      <c r="P16" s="3" t="s">
        <v>30</v>
      </c>
    </row>
    <row r="17" spans="1:17">
      <c r="A17" s="3" t="s">
        <v>0</v>
      </c>
      <c r="B17" s="3" t="s">
        <v>2</v>
      </c>
      <c r="C17" s="4" t="s">
        <v>1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35</v>
      </c>
      <c r="I17" s="3" t="s">
        <v>34</v>
      </c>
      <c r="J17" s="3" t="s">
        <v>33</v>
      </c>
      <c r="K17" s="3" t="s">
        <v>32</v>
      </c>
      <c r="L17" s="3" t="s">
        <v>35</v>
      </c>
      <c r="M17" s="3" t="s">
        <v>33</v>
      </c>
      <c r="N17" s="3" t="s">
        <v>35</v>
      </c>
      <c r="O17" s="3" t="s">
        <v>36</v>
      </c>
      <c r="P17" s="3" t="s">
        <v>32</v>
      </c>
      <c r="Q17" s="6" t="s">
        <v>37</v>
      </c>
    </row>
    <row r="18" spans="1:17">
      <c r="A18" s="10"/>
      <c r="B18" s="2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f>SUM(D18:P18)</f>
        <v>0</v>
      </c>
    </row>
    <row r="19" spans="1:17">
      <c r="A19" s="1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>
        <f t="shared" ref="Q19:Q21" si="5">SUM(D19:P19)</f>
        <v>0</v>
      </c>
    </row>
    <row r="20" spans="1:17">
      <c r="A20" s="11"/>
      <c r="B20" s="1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f t="shared" si="5"/>
        <v>0</v>
      </c>
    </row>
    <row r="21" spans="1:17">
      <c r="A21" s="11"/>
      <c r="B21" s="1"/>
      <c r="C21" s="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f t="shared" si="5"/>
        <v>0</v>
      </c>
    </row>
    <row r="22" spans="1:17">
      <c r="A22" s="12"/>
      <c r="B22" s="1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C23" s="3" t="s">
        <v>37</v>
      </c>
      <c r="D23" s="1">
        <f t="shared" ref="D23:P23" si="6">SUM(D18:D22)</f>
        <v>0</v>
      </c>
      <c r="E23" s="1">
        <f t="shared" si="6"/>
        <v>0</v>
      </c>
      <c r="F23" s="1">
        <f t="shared" si="6"/>
        <v>0</v>
      </c>
      <c r="G23" s="1">
        <f t="shared" si="6"/>
        <v>0</v>
      </c>
      <c r="H23" s="1">
        <f t="shared" si="6"/>
        <v>0</v>
      </c>
      <c r="I23" s="1">
        <f t="shared" si="6"/>
        <v>0</v>
      </c>
      <c r="J23" s="1">
        <f t="shared" si="6"/>
        <v>0</v>
      </c>
      <c r="K23" s="1">
        <f t="shared" si="6"/>
        <v>0</v>
      </c>
      <c r="L23" s="1">
        <f t="shared" si="6"/>
        <v>0</v>
      </c>
      <c r="M23" s="1">
        <f t="shared" si="6"/>
        <v>0</v>
      </c>
      <c r="N23" s="1">
        <f t="shared" si="6"/>
        <v>0</v>
      </c>
      <c r="O23" s="1">
        <f t="shared" si="6"/>
        <v>0</v>
      </c>
      <c r="P23" s="1">
        <f t="shared" si="6"/>
        <v>0</v>
      </c>
      <c r="Q23" s="1">
        <f>SUM(D23:P23)</f>
        <v>0</v>
      </c>
    </row>
  </sheetData>
  <mergeCells count="9">
    <mergeCell ref="M15:P15"/>
    <mergeCell ref="A8:A13"/>
    <mergeCell ref="A18:A22"/>
    <mergeCell ref="B1:B5"/>
    <mergeCell ref="I1:I5"/>
    <mergeCell ref="H8:H12"/>
    <mergeCell ref="I8:I12"/>
    <mergeCell ref="D15:H15"/>
    <mergeCell ref="I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MAYO 26</vt:lpstr>
      <vt:lpstr>JUNIO 26</vt:lpstr>
      <vt:lpstr>JULIO 26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2026-05-13T16:10:46Z</dcterms:created>
  <dcterms:modified xsi:type="dcterms:W3CDTF">2026-05-28T13:56:48Z</dcterms:modified>
</cp:coreProperties>
</file>