
<file path=[Content_Types].xml><?xml version="1.0" encoding="utf-8"?>
<Types xmlns="http://schemas.openxmlformats.org/package/2006/content-types"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 firstSheet="1" activeTab="3"/>
  </bookViews>
  <sheets>
    <sheet name=" AZUL 2" sheetId="1" state="hidden" r:id="rId1"/>
    <sheet name="OC FRUT y VERD AZUL 2" sheetId="2" r:id="rId2"/>
    <sheet name="OC SECOS y LAC AZUL 2" sheetId="3" r:id="rId3"/>
    <sheet name="OC CAR y PAN AZUL 2" sheetId="4" r:id="rId4"/>
    <sheet name="CACHARI 2" sheetId="5" state="hidden" r:id="rId5"/>
    <sheet name="OC CACHARI 2" sheetId="6" state="hidden" r:id="rId6"/>
    <sheet name="CHILLAR 2" sheetId="7" state="hidden" r:id="rId7"/>
    <sheet name="OC CHILLAR 2" sheetId="8" state="hidden" r:id="rId8"/>
    <sheet name="SEMANAL" sheetId="9" state="hidden" r:id="rId9"/>
  </sheets>
  <calcPr calcId="124519"/>
  <extLst>
    <ext uri="GoogleSheetsCustomDataVersion2">
      <go:sheetsCustomData xmlns:go="http://customooxmlschemas.google.com/" r:id="" roundtripDataChecksum="CfE28GxcRR1cc2esRIGQBhGN6VpqZi4XyXKurdefKRo="/>
    </ext>
  </extLst>
</workbook>
</file>

<file path=xl/calcChain.xml><?xml version="1.0" encoding="utf-8"?>
<calcChain xmlns="http://schemas.openxmlformats.org/spreadsheetml/2006/main">
  <c r="N64" i="1"/>
  <c r="N60" i="2" s="1"/>
  <c r="B41" i="1"/>
  <c r="B37" i="2" s="1"/>
  <c r="C64" i="1"/>
  <c r="D64"/>
  <c r="D60" i="2" s="1"/>
  <c r="E64" i="1"/>
  <c r="E60" i="2" s="1"/>
  <c r="F64" i="1"/>
  <c r="G64"/>
  <c r="H64"/>
  <c r="H60" i="2" s="1"/>
  <c r="I64" i="1"/>
  <c r="I60" i="2" s="1"/>
  <c r="J64" i="1"/>
  <c r="K64"/>
  <c r="L64"/>
  <c r="L60" i="2" s="1"/>
  <c r="M64" i="1"/>
  <c r="M60" i="2" s="1"/>
  <c r="B64" i="1"/>
  <c r="B60" i="2" s="1"/>
  <c r="C41" i="1"/>
  <c r="D41"/>
  <c r="E41"/>
  <c r="F41"/>
  <c r="G41"/>
  <c r="H41"/>
  <c r="I41"/>
  <c r="I37" i="2" s="1"/>
  <c r="J41" i="1"/>
  <c r="K41"/>
  <c r="L41"/>
  <c r="L37" i="2" s="1"/>
  <c r="M41" i="1"/>
  <c r="N41"/>
  <c r="C16"/>
  <c r="D16"/>
  <c r="D16" i="2" s="1"/>
  <c r="E16" i="1"/>
  <c r="F16"/>
  <c r="G16"/>
  <c r="H16"/>
  <c r="H16" i="2" s="1"/>
  <c r="I16" i="1"/>
  <c r="I16" i="2" s="1"/>
  <c r="J16" i="1"/>
  <c r="K16"/>
  <c r="L16"/>
  <c r="L16" i="2" s="1"/>
  <c r="M16" i="1"/>
  <c r="N16"/>
  <c r="B16"/>
  <c r="G16" i="2"/>
  <c r="E66" i="9"/>
  <c r="D66"/>
  <c r="C66"/>
  <c r="B66"/>
  <c r="G65"/>
  <c r="F65"/>
  <c r="G64"/>
  <c r="F64"/>
  <c r="G63"/>
  <c r="F63"/>
  <c r="G62"/>
  <c r="F62"/>
  <c r="G61"/>
  <c r="F61"/>
  <c r="G60"/>
  <c r="F60"/>
  <c r="G54"/>
  <c r="F54"/>
  <c r="G53"/>
  <c r="F53"/>
  <c r="G52"/>
  <c r="F52"/>
  <c r="G46"/>
  <c r="F46"/>
  <c r="G45"/>
  <c r="F45"/>
  <c r="G44"/>
  <c r="F44"/>
  <c r="G43"/>
  <c r="F43"/>
  <c r="G42"/>
  <c r="F42"/>
  <c r="G41"/>
  <c r="F41"/>
  <c r="G40"/>
  <c r="F40"/>
  <c r="G39"/>
  <c r="F39"/>
  <c r="G38"/>
  <c r="F38"/>
  <c r="G37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G9"/>
  <c r="F9"/>
  <c r="G8"/>
  <c r="F8"/>
  <c r="G7"/>
  <c r="F7"/>
  <c r="G6"/>
  <c r="F6"/>
  <c r="I81" i="7"/>
  <c r="I88" i="8" s="1"/>
  <c r="H81" i="7"/>
  <c r="H88" i="8" s="1"/>
  <c r="G81" i="7"/>
  <c r="G88" i="8" s="1"/>
  <c r="F81" i="7"/>
  <c r="F88" i="8" s="1"/>
  <c r="E81" i="7"/>
  <c r="E88" i="8" s="1"/>
  <c r="D81" i="7"/>
  <c r="D88" i="8" s="1"/>
  <c r="C81" i="7"/>
  <c r="C88" i="8" s="1"/>
  <c r="B81" i="7"/>
  <c r="B88" i="8" s="1"/>
  <c r="I80" i="7"/>
  <c r="I87" i="8" s="1"/>
  <c r="H80" i="7"/>
  <c r="H87" i="8" s="1"/>
  <c r="G80" i="7"/>
  <c r="G87" i="8" s="1"/>
  <c r="F80" i="7"/>
  <c r="F87" i="8" s="1"/>
  <c r="E80" i="7"/>
  <c r="E87" i="8" s="1"/>
  <c r="D80" i="7"/>
  <c r="D87" i="8" s="1"/>
  <c r="C80" i="7"/>
  <c r="C87" i="8" s="1"/>
  <c r="B80" i="7"/>
  <c r="B87" i="8" s="1"/>
  <c r="I79" i="7"/>
  <c r="H79"/>
  <c r="H86" i="8" s="1"/>
  <c r="G79" i="7"/>
  <c r="G86" i="8" s="1"/>
  <c r="F79" i="7"/>
  <c r="F86" i="8" s="1"/>
  <c r="E79" i="7"/>
  <c r="D79"/>
  <c r="C79"/>
  <c r="C86" i="8" s="1"/>
  <c r="B79" i="7"/>
  <c r="B86" i="8" s="1"/>
  <c r="I78" i="7"/>
  <c r="I85" i="8" s="1"/>
  <c r="H78" i="7"/>
  <c r="H85" i="8" s="1"/>
  <c r="G78" i="7"/>
  <c r="G85" i="8" s="1"/>
  <c r="F78" i="7"/>
  <c r="F85" i="8" s="1"/>
  <c r="E78" i="7"/>
  <c r="E85" i="8" s="1"/>
  <c r="D78" i="7"/>
  <c r="D85" i="8" s="1"/>
  <c r="C78" i="7"/>
  <c r="C85" i="8" s="1"/>
  <c r="B78" i="7"/>
  <c r="B85" i="8" s="1"/>
  <c r="I77" i="7"/>
  <c r="H77"/>
  <c r="H84" i="8" s="1"/>
  <c r="G77" i="7"/>
  <c r="G84" i="8" s="1"/>
  <c r="F77" i="7"/>
  <c r="F84" i="8" s="1"/>
  <c r="E77" i="7"/>
  <c r="D77"/>
  <c r="C77"/>
  <c r="C84" i="8" s="1"/>
  <c r="B77" i="7"/>
  <c r="B84" i="8" s="1"/>
  <c r="I76" i="7"/>
  <c r="I83" i="8" s="1"/>
  <c r="H76" i="7"/>
  <c r="H83" i="8" s="1"/>
  <c r="G76" i="7"/>
  <c r="G83" i="8" s="1"/>
  <c r="F76" i="7"/>
  <c r="F83" i="8" s="1"/>
  <c r="E76" i="7"/>
  <c r="E83" i="8" s="1"/>
  <c r="D76" i="7"/>
  <c r="D83" i="8" s="1"/>
  <c r="C76" i="7"/>
  <c r="C83" i="8" s="1"/>
  <c r="B76" i="7"/>
  <c r="B83" i="8" s="1"/>
  <c r="J75" i="7"/>
  <c r="J74"/>
  <c r="I66"/>
  <c r="I73" i="8" s="1"/>
  <c r="H66" i="7"/>
  <c r="H73" i="8" s="1"/>
  <c r="G66" i="7"/>
  <c r="G73" i="8" s="1"/>
  <c r="F66" i="7"/>
  <c r="F73" i="8" s="1"/>
  <c r="E66" i="7"/>
  <c r="E73" i="8" s="1"/>
  <c r="D66" i="7"/>
  <c r="D73" i="8" s="1"/>
  <c r="C66" i="7"/>
  <c r="C73" i="8" s="1"/>
  <c r="B66" i="7"/>
  <c r="B73" i="8" s="1"/>
  <c r="I65" i="7"/>
  <c r="I72" i="8" s="1"/>
  <c r="H65" i="7"/>
  <c r="H72" i="8" s="1"/>
  <c r="G65" i="7"/>
  <c r="G72" i="8" s="1"/>
  <c r="F65" i="7"/>
  <c r="F72" i="8" s="1"/>
  <c r="E65" i="7"/>
  <c r="E72" i="8" s="1"/>
  <c r="D65" i="7"/>
  <c r="D72" i="8" s="1"/>
  <c r="C65" i="7"/>
  <c r="C72" i="8" s="1"/>
  <c r="B65" i="7"/>
  <c r="B72" i="8" s="1"/>
  <c r="I64" i="7"/>
  <c r="I71" i="8" s="1"/>
  <c r="H64" i="7"/>
  <c r="H71" i="8" s="1"/>
  <c r="G64" i="7"/>
  <c r="G71" i="8" s="1"/>
  <c r="F64" i="7"/>
  <c r="F71" i="8" s="1"/>
  <c r="E64" i="7"/>
  <c r="E71" i="8" s="1"/>
  <c r="D64" i="7"/>
  <c r="D71" i="8" s="1"/>
  <c r="C64" i="7"/>
  <c r="C71" i="8" s="1"/>
  <c r="B64" i="7"/>
  <c r="B71" i="8" s="1"/>
  <c r="J63" i="7"/>
  <c r="J62"/>
  <c r="I56"/>
  <c r="I61" i="8" s="1"/>
  <c r="H56" i="7"/>
  <c r="H61" i="8" s="1"/>
  <c r="G56" i="7"/>
  <c r="G61" i="8" s="1"/>
  <c r="F56" i="7"/>
  <c r="F61" i="8" s="1"/>
  <c r="E56" i="7"/>
  <c r="E61" i="8" s="1"/>
  <c r="D56" i="7"/>
  <c r="D61" i="8" s="1"/>
  <c r="C56" i="7"/>
  <c r="C61" i="8" s="1"/>
  <c r="B56" i="7"/>
  <c r="B61" i="8" s="1"/>
  <c r="I55" i="7"/>
  <c r="I60" i="8" s="1"/>
  <c r="H55" i="7"/>
  <c r="H60" i="8" s="1"/>
  <c r="G55" i="7"/>
  <c r="G60" i="8" s="1"/>
  <c r="F55" i="7"/>
  <c r="F60" i="8" s="1"/>
  <c r="E55" i="7"/>
  <c r="E60" i="8" s="1"/>
  <c r="D55" i="7"/>
  <c r="D60" i="8" s="1"/>
  <c r="C55" i="7"/>
  <c r="C60" i="8" s="1"/>
  <c r="B55" i="7"/>
  <c r="B60" i="8" s="1"/>
  <c r="I54" i="7"/>
  <c r="I59" i="8" s="1"/>
  <c r="H54" i="7"/>
  <c r="H59" i="8" s="1"/>
  <c r="G54" i="7"/>
  <c r="G59" i="8" s="1"/>
  <c r="F54" i="7"/>
  <c r="F59" i="8" s="1"/>
  <c r="E54" i="7"/>
  <c r="E59" i="8" s="1"/>
  <c r="D54" i="7"/>
  <c r="D59" i="8" s="1"/>
  <c r="C54" i="7"/>
  <c r="C59" i="8" s="1"/>
  <c r="B54" i="7"/>
  <c r="B59" i="8" s="1"/>
  <c r="I53" i="7"/>
  <c r="I58" i="8" s="1"/>
  <c r="H53" i="7"/>
  <c r="H58" i="8" s="1"/>
  <c r="G53" i="7"/>
  <c r="G58" i="8" s="1"/>
  <c r="F53" i="7"/>
  <c r="F58" i="8" s="1"/>
  <c r="E53" i="7"/>
  <c r="E58" i="8" s="1"/>
  <c r="D53" i="7"/>
  <c r="D58" i="8" s="1"/>
  <c r="C53" i="7"/>
  <c r="C58" i="8" s="1"/>
  <c r="B53" i="7"/>
  <c r="B58" i="8" s="1"/>
  <c r="I52" i="7"/>
  <c r="I57" i="8" s="1"/>
  <c r="H52" i="7"/>
  <c r="H57" i="8" s="1"/>
  <c r="G52" i="7"/>
  <c r="F52"/>
  <c r="F57" i="8" s="1"/>
  <c r="E52" i="7"/>
  <c r="E57" i="8" s="1"/>
  <c r="D52" i="7"/>
  <c r="D57" i="8" s="1"/>
  <c r="C52" i="7"/>
  <c r="C57" i="8" s="1"/>
  <c r="B52" i="7"/>
  <c r="B57" i="8" s="1"/>
  <c r="I51" i="7"/>
  <c r="I56" i="8" s="1"/>
  <c r="H51" i="7"/>
  <c r="H56" i="8" s="1"/>
  <c r="G51" i="7"/>
  <c r="G56" i="8" s="1"/>
  <c r="F51" i="7"/>
  <c r="F56" i="8" s="1"/>
  <c r="E51" i="7"/>
  <c r="E56" i="8" s="1"/>
  <c r="D51" i="7"/>
  <c r="D56" i="8" s="1"/>
  <c r="C51" i="7"/>
  <c r="B51"/>
  <c r="B56" i="8" s="1"/>
  <c r="I50" i="7"/>
  <c r="I55" i="8" s="1"/>
  <c r="H50" i="7"/>
  <c r="H55" i="8" s="1"/>
  <c r="G50" i="7"/>
  <c r="G55" i="8" s="1"/>
  <c r="F50" i="7"/>
  <c r="F55" i="8" s="1"/>
  <c r="E50" i="7"/>
  <c r="E55" i="8" s="1"/>
  <c r="D50" i="7"/>
  <c r="D55" i="8" s="1"/>
  <c r="C50" i="7"/>
  <c r="C55" i="8" s="1"/>
  <c r="B50" i="7"/>
  <c r="B55" i="8" s="1"/>
  <c r="I49" i="7"/>
  <c r="I54" i="8" s="1"/>
  <c r="H49" i="7"/>
  <c r="H54" i="8" s="1"/>
  <c r="G49" i="7"/>
  <c r="G54" i="8" s="1"/>
  <c r="F49" i="7"/>
  <c r="F54" i="8" s="1"/>
  <c r="E49" i="7"/>
  <c r="E54" i="8" s="1"/>
  <c r="D49" i="7"/>
  <c r="D54" i="8" s="1"/>
  <c r="C49" i="7"/>
  <c r="C54" i="8" s="1"/>
  <c r="B49" i="7"/>
  <c r="B54" i="8" s="1"/>
  <c r="I48" i="7"/>
  <c r="I53" i="8" s="1"/>
  <c r="H48" i="7"/>
  <c r="H53" i="8" s="1"/>
  <c r="G48" i="7"/>
  <c r="F48"/>
  <c r="F53" i="8" s="1"/>
  <c r="E48" i="7"/>
  <c r="E53" i="8" s="1"/>
  <c r="D48" i="7"/>
  <c r="D53" i="8" s="1"/>
  <c r="C48" i="7"/>
  <c r="C53" i="8" s="1"/>
  <c r="B48" i="7"/>
  <c r="B53" i="8" s="1"/>
  <c r="I47" i="7"/>
  <c r="I52" i="8" s="1"/>
  <c r="H47" i="7"/>
  <c r="H52" i="8" s="1"/>
  <c r="G47" i="7"/>
  <c r="G52" i="8" s="1"/>
  <c r="F47" i="7"/>
  <c r="E47"/>
  <c r="E52" i="8" s="1"/>
  <c r="D47" i="7"/>
  <c r="D52" i="8" s="1"/>
  <c r="C47" i="7"/>
  <c r="C52" i="8" s="1"/>
  <c r="B47" i="7"/>
  <c r="B52" i="8" s="1"/>
  <c r="I46" i="7"/>
  <c r="I51" i="8" s="1"/>
  <c r="H46" i="7"/>
  <c r="H51" i="8" s="1"/>
  <c r="G46" i="7"/>
  <c r="G51" i="8" s="1"/>
  <c r="F46" i="7"/>
  <c r="F51" i="8" s="1"/>
  <c r="E46" i="7"/>
  <c r="E51" i="8" s="1"/>
  <c r="D46" i="7"/>
  <c r="D51" i="8" s="1"/>
  <c r="C46" i="7"/>
  <c r="C51" i="8" s="1"/>
  <c r="B46" i="7"/>
  <c r="B51" i="8" s="1"/>
  <c r="I45" i="7"/>
  <c r="I50" i="8" s="1"/>
  <c r="H45" i="7"/>
  <c r="H50" i="8" s="1"/>
  <c r="G45" i="7"/>
  <c r="G50" i="8" s="1"/>
  <c r="F45" i="7"/>
  <c r="F50" i="8" s="1"/>
  <c r="E45" i="7"/>
  <c r="E50" i="8" s="1"/>
  <c r="D45" i="7"/>
  <c r="D50" i="8" s="1"/>
  <c r="C45" i="7"/>
  <c r="C50" i="8" s="1"/>
  <c r="B45" i="7"/>
  <c r="B50" i="8" s="1"/>
  <c r="I44" i="7"/>
  <c r="I49" i="8" s="1"/>
  <c r="H44" i="7"/>
  <c r="H49" i="8" s="1"/>
  <c r="G44" i="7"/>
  <c r="G49" i="8" s="1"/>
  <c r="F44" i="7"/>
  <c r="F49" i="8" s="1"/>
  <c r="E44" i="7"/>
  <c r="E49" i="8" s="1"/>
  <c r="D44" i="7"/>
  <c r="D49" i="8" s="1"/>
  <c r="C44" i="7"/>
  <c r="C49" i="8" s="1"/>
  <c r="B44" i="7"/>
  <c r="B49" i="8" s="1"/>
  <c r="I43" i="7"/>
  <c r="I48" i="8" s="1"/>
  <c r="H43" i="7"/>
  <c r="H48" i="8" s="1"/>
  <c r="G43" i="7"/>
  <c r="G48" i="8" s="1"/>
  <c r="F43" i="7"/>
  <c r="F48" i="8" s="1"/>
  <c r="E43" i="7"/>
  <c r="E48" i="8" s="1"/>
  <c r="D43" i="7"/>
  <c r="D48" i="8" s="1"/>
  <c r="C43" i="7"/>
  <c r="C48" i="8" s="1"/>
  <c r="B43" i="7"/>
  <c r="B48" i="8" s="1"/>
  <c r="I42" i="7"/>
  <c r="I47" i="8" s="1"/>
  <c r="H42" i="7"/>
  <c r="H47" i="8" s="1"/>
  <c r="G42" i="7"/>
  <c r="G47" i="8" s="1"/>
  <c r="F42" i="7"/>
  <c r="F47" i="8" s="1"/>
  <c r="E42" i="7"/>
  <c r="E47" i="8" s="1"/>
  <c r="D42" i="7"/>
  <c r="D47" i="8" s="1"/>
  <c r="C42" i="7"/>
  <c r="B42"/>
  <c r="B47" i="8" s="1"/>
  <c r="I41" i="7"/>
  <c r="H41"/>
  <c r="H46" i="8" s="1"/>
  <c r="G41" i="7"/>
  <c r="G46" i="8" s="1"/>
  <c r="F41" i="7"/>
  <c r="F46" i="8" s="1"/>
  <c r="E41" i="7"/>
  <c r="E46" i="8" s="1"/>
  <c r="D41" i="7"/>
  <c r="D46" i="8" s="1"/>
  <c r="C41" i="7"/>
  <c r="C46" i="8" s="1"/>
  <c r="B41" i="7"/>
  <c r="B46" i="8" s="1"/>
  <c r="I40" i="7"/>
  <c r="H40"/>
  <c r="H45" i="8" s="1"/>
  <c r="G40" i="7"/>
  <c r="G45" i="8" s="1"/>
  <c r="F40" i="7"/>
  <c r="F45" i="8" s="1"/>
  <c r="E40" i="7"/>
  <c r="E45" i="8" s="1"/>
  <c r="D40" i="7"/>
  <c r="D45" i="8" s="1"/>
  <c r="C40" i="7"/>
  <c r="C45" i="8" s="1"/>
  <c r="B40" i="7"/>
  <c r="B45" i="8" s="1"/>
  <c r="I39" i="7"/>
  <c r="H39"/>
  <c r="G39"/>
  <c r="F39"/>
  <c r="F44" i="8" s="1"/>
  <c r="E39" i="7"/>
  <c r="D39"/>
  <c r="D44" i="8" s="1"/>
  <c r="C39" i="7"/>
  <c r="B39"/>
  <c r="I38"/>
  <c r="H38"/>
  <c r="G38"/>
  <c r="G43" i="8" s="1"/>
  <c r="F38" i="7"/>
  <c r="F43" i="8" s="1"/>
  <c r="E38" i="7"/>
  <c r="E43" i="8" s="1"/>
  <c r="D38" i="7"/>
  <c r="D43" i="8" s="1"/>
  <c r="C38" i="7"/>
  <c r="C43" i="8" s="1"/>
  <c r="B38" i="7"/>
  <c r="I37"/>
  <c r="H37"/>
  <c r="G37"/>
  <c r="G42" i="8" s="1"/>
  <c r="F37" i="7"/>
  <c r="F42" i="8" s="1"/>
  <c r="E37" i="7"/>
  <c r="E42" i="8" s="1"/>
  <c r="D37" i="7"/>
  <c r="D42" i="8" s="1"/>
  <c r="C37" i="7"/>
  <c r="C42" i="8" s="1"/>
  <c r="B37" i="7"/>
  <c r="I36"/>
  <c r="H36"/>
  <c r="G36"/>
  <c r="F36"/>
  <c r="F41" i="8" s="1"/>
  <c r="E36" i="7"/>
  <c r="D36"/>
  <c r="D41" i="8" s="1"/>
  <c r="C36" i="7"/>
  <c r="C41" i="8" s="1"/>
  <c r="B36" i="7"/>
  <c r="I35"/>
  <c r="I40" i="8" s="1"/>
  <c r="H35" i="7"/>
  <c r="G35"/>
  <c r="G40" i="8" s="1"/>
  <c r="F35" i="7"/>
  <c r="F40" i="8" s="1"/>
  <c r="E35" i="7"/>
  <c r="D35"/>
  <c r="D40" i="8" s="1"/>
  <c r="C35" i="7"/>
  <c r="C40" i="8" s="1"/>
  <c r="B35" i="7"/>
  <c r="B40" i="8" s="1"/>
  <c r="I34" i="7"/>
  <c r="I39" i="8" s="1"/>
  <c r="H34" i="7"/>
  <c r="G34"/>
  <c r="F34"/>
  <c r="F39" i="8" s="1"/>
  <c r="E34" i="7"/>
  <c r="E39" i="8" s="1"/>
  <c r="D34" i="7"/>
  <c r="D39" i="8" s="1"/>
  <c r="C34" i="7"/>
  <c r="B34"/>
  <c r="J33"/>
  <c r="J32"/>
  <c r="I26"/>
  <c r="I28" i="8" s="1"/>
  <c r="H26" i="7"/>
  <c r="H28" i="8" s="1"/>
  <c r="G26" i="7"/>
  <c r="G28" i="8" s="1"/>
  <c r="F26" i="7"/>
  <c r="F28" i="8" s="1"/>
  <c r="E26" i="7"/>
  <c r="E28" i="8" s="1"/>
  <c r="D26" i="7"/>
  <c r="D28" i="8" s="1"/>
  <c r="C26" i="7"/>
  <c r="C28" i="8" s="1"/>
  <c r="B26" i="7"/>
  <c r="B28" i="8" s="1"/>
  <c r="I25" i="7"/>
  <c r="I27" i="8" s="1"/>
  <c r="H25" i="7"/>
  <c r="H27" i="8" s="1"/>
  <c r="G25" i="7"/>
  <c r="F25"/>
  <c r="F27" i="8" s="1"/>
  <c r="E25" i="7"/>
  <c r="E27" i="8" s="1"/>
  <c r="D25" i="7"/>
  <c r="D27" i="8" s="1"/>
  <c r="C25" i="7"/>
  <c r="C27" i="8" s="1"/>
  <c r="B25" i="7"/>
  <c r="B27" i="8" s="1"/>
  <c r="I24" i="7"/>
  <c r="I26" i="8" s="1"/>
  <c r="H24" i="7"/>
  <c r="H26" i="8" s="1"/>
  <c r="G24" i="7"/>
  <c r="G26" i="8" s="1"/>
  <c r="F24" i="7"/>
  <c r="F26" i="8" s="1"/>
  <c r="E24" i="7"/>
  <c r="E26" i="8" s="1"/>
  <c r="D24" i="7"/>
  <c r="D26" i="8" s="1"/>
  <c r="C24" i="7"/>
  <c r="C26" i="8" s="1"/>
  <c r="B24" i="7"/>
  <c r="B26" i="8" s="1"/>
  <c r="I23" i="7"/>
  <c r="I25" i="8" s="1"/>
  <c r="H23" i="7"/>
  <c r="H25" i="8" s="1"/>
  <c r="G23" i="7"/>
  <c r="G25" i="8" s="1"/>
  <c r="F23" i="7"/>
  <c r="F25" i="8" s="1"/>
  <c r="E23" i="7"/>
  <c r="E25" i="8" s="1"/>
  <c r="D23" i="7"/>
  <c r="D25" i="8" s="1"/>
  <c r="C23" i="7"/>
  <c r="C25" i="8" s="1"/>
  <c r="B23" i="7"/>
  <c r="B25" i="8" s="1"/>
  <c r="I22" i="7"/>
  <c r="I24" i="8" s="1"/>
  <c r="H22" i="7"/>
  <c r="H24" i="8" s="1"/>
  <c r="G22" i="7"/>
  <c r="G24" i="8" s="1"/>
  <c r="F22" i="7"/>
  <c r="F24" i="8" s="1"/>
  <c r="E22" i="7"/>
  <c r="E24" i="8" s="1"/>
  <c r="D22" i="7"/>
  <c r="D24" i="8" s="1"/>
  <c r="C22" i="7"/>
  <c r="C24" i="8" s="1"/>
  <c r="B22" i="7"/>
  <c r="B24" i="8" s="1"/>
  <c r="I21" i="7"/>
  <c r="I23" i="8" s="1"/>
  <c r="H21" i="7"/>
  <c r="H23" i="8" s="1"/>
  <c r="G21" i="7"/>
  <c r="G23" i="8" s="1"/>
  <c r="F21" i="7"/>
  <c r="F23" i="8" s="1"/>
  <c r="E21" i="7"/>
  <c r="E23" i="8" s="1"/>
  <c r="D21" i="7"/>
  <c r="D23" i="8" s="1"/>
  <c r="C21" i="7"/>
  <c r="C23" i="8" s="1"/>
  <c r="B21" i="7"/>
  <c r="B23" i="8" s="1"/>
  <c r="I20" i="7"/>
  <c r="I22" i="8" s="1"/>
  <c r="H20" i="7"/>
  <c r="H22" i="8" s="1"/>
  <c r="G20" i="7"/>
  <c r="G22" i="8" s="1"/>
  <c r="F20" i="7"/>
  <c r="F22" i="8" s="1"/>
  <c r="E20" i="7"/>
  <c r="E22" i="8" s="1"/>
  <c r="D20" i="7"/>
  <c r="D22" i="8" s="1"/>
  <c r="C20" i="7"/>
  <c r="C22" i="8" s="1"/>
  <c r="B20" i="7"/>
  <c r="B22" i="8" s="1"/>
  <c r="I19" i="7"/>
  <c r="I21" i="8" s="1"/>
  <c r="H19" i="7"/>
  <c r="H21" i="8" s="1"/>
  <c r="G19" i="7"/>
  <c r="G21" i="8" s="1"/>
  <c r="F19" i="7"/>
  <c r="F21" i="8" s="1"/>
  <c r="E19" i="7"/>
  <c r="E21" i="8" s="1"/>
  <c r="D19" i="7"/>
  <c r="D21" i="8" s="1"/>
  <c r="C19" i="7"/>
  <c r="C21" i="8" s="1"/>
  <c r="B19" i="7"/>
  <c r="B21" i="8" s="1"/>
  <c r="I18" i="7"/>
  <c r="I20" i="8" s="1"/>
  <c r="H18" i="7"/>
  <c r="H20" i="8" s="1"/>
  <c r="G18" i="7"/>
  <c r="G20" i="8" s="1"/>
  <c r="F18" i="7"/>
  <c r="F20" i="8" s="1"/>
  <c r="E18" i="7"/>
  <c r="E20" i="8" s="1"/>
  <c r="D18" i="7"/>
  <c r="D20" i="8" s="1"/>
  <c r="C18" i="7"/>
  <c r="C20" i="8" s="1"/>
  <c r="B18" i="7"/>
  <c r="B20" i="8" s="1"/>
  <c r="I17" i="7"/>
  <c r="I19" i="8" s="1"/>
  <c r="H17" i="7"/>
  <c r="H19" i="8" s="1"/>
  <c r="G17" i="7"/>
  <c r="G19" i="8" s="1"/>
  <c r="F17" i="7"/>
  <c r="F19" i="8" s="1"/>
  <c r="E17" i="7"/>
  <c r="E19" i="8" s="1"/>
  <c r="D17" i="7"/>
  <c r="D19" i="8" s="1"/>
  <c r="C17" i="7"/>
  <c r="C19" i="8" s="1"/>
  <c r="B17" i="7"/>
  <c r="B19" i="8" s="1"/>
  <c r="I16" i="7"/>
  <c r="I18" i="8" s="1"/>
  <c r="H16" i="7"/>
  <c r="H18" i="8" s="1"/>
  <c r="G16" i="7"/>
  <c r="G18" i="8" s="1"/>
  <c r="F16" i="7"/>
  <c r="F18" i="8" s="1"/>
  <c r="E16" i="7"/>
  <c r="E18" i="8" s="1"/>
  <c r="D16" i="7"/>
  <c r="D18" i="8" s="1"/>
  <c r="C16" i="7"/>
  <c r="C18" i="8" s="1"/>
  <c r="B16" i="7"/>
  <c r="B18" i="8" s="1"/>
  <c r="I15" i="7"/>
  <c r="I17" i="8" s="1"/>
  <c r="H15" i="7"/>
  <c r="H17" i="8" s="1"/>
  <c r="G15" i="7"/>
  <c r="G17" i="8" s="1"/>
  <c r="F15" i="7"/>
  <c r="F17" i="8" s="1"/>
  <c r="E15" i="7"/>
  <c r="E17" i="8" s="1"/>
  <c r="D15" i="7"/>
  <c r="D17" i="8" s="1"/>
  <c r="C15" i="7"/>
  <c r="C17" i="8" s="1"/>
  <c r="B15" i="7"/>
  <c r="B17" i="8" s="1"/>
  <c r="I14" i="7"/>
  <c r="I16" i="8" s="1"/>
  <c r="H14" i="7"/>
  <c r="H16" i="8" s="1"/>
  <c r="G14" i="7"/>
  <c r="G16" i="8" s="1"/>
  <c r="F14" i="7"/>
  <c r="F16" i="8" s="1"/>
  <c r="E14" i="7"/>
  <c r="E16" i="8" s="1"/>
  <c r="D14" i="7"/>
  <c r="D16" i="8" s="1"/>
  <c r="C14" i="7"/>
  <c r="C16" i="8" s="1"/>
  <c r="B14" i="7"/>
  <c r="B16" i="8" s="1"/>
  <c r="J13" i="7"/>
  <c r="J12"/>
  <c r="O86" i="5"/>
  <c r="O86" i="6" s="1"/>
  <c r="N86" i="5"/>
  <c r="N86" i="6" s="1"/>
  <c r="M86" i="5"/>
  <c r="M86" i="6" s="1"/>
  <c r="L86" i="5"/>
  <c r="L86" i="6" s="1"/>
  <c r="K86" i="5"/>
  <c r="K86" i="6" s="1"/>
  <c r="J86" i="5"/>
  <c r="J86" i="6" s="1"/>
  <c r="I86" i="5"/>
  <c r="I86" i="6" s="1"/>
  <c r="H86" i="5"/>
  <c r="H86" i="6" s="1"/>
  <c r="G86" i="5"/>
  <c r="G86" i="6" s="1"/>
  <c r="F86" i="5"/>
  <c r="F86" i="6" s="1"/>
  <c r="E86" i="5"/>
  <c r="E86" i="6" s="1"/>
  <c r="D86" i="5"/>
  <c r="D86" i="6" s="1"/>
  <c r="C86" i="5"/>
  <c r="C86" i="6" s="1"/>
  <c r="B86" i="5"/>
  <c r="B86" i="6" s="1"/>
  <c r="O85" i="5"/>
  <c r="O85" i="6" s="1"/>
  <c r="N85" i="5"/>
  <c r="N85" i="6" s="1"/>
  <c r="M85" i="5"/>
  <c r="M85" i="6" s="1"/>
  <c r="L85" i="5"/>
  <c r="L85" i="6" s="1"/>
  <c r="K85" i="5"/>
  <c r="K85" i="6" s="1"/>
  <c r="J85" i="5"/>
  <c r="J85" i="6" s="1"/>
  <c r="I85" i="5"/>
  <c r="I85" i="6" s="1"/>
  <c r="H85" i="5"/>
  <c r="H85" i="6" s="1"/>
  <c r="G85" i="5"/>
  <c r="G85" i="6" s="1"/>
  <c r="F85" i="5"/>
  <c r="F85" i="6" s="1"/>
  <c r="E85" i="5"/>
  <c r="E85" i="6" s="1"/>
  <c r="D85" i="5"/>
  <c r="D85" i="6" s="1"/>
  <c r="C85" i="5"/>
  <c r="C85" i="6" s="1"/>
  <c r="B85" i="5"/>
  <c r="B85" i="6" s="1"/>
  <c r="O84" i="5"/>
  <c r="O84" i="6" s="1"/>
  <c r="N84" i="5"/>
  <c r="N84" i="6" s="1"/>
  <c r="M84" i="5"/>
  <c r="M84" i="6" s="1"/>
  <c r="L84" i="5"/>
  <c r="L84" i="6" s="1"/>
  <c r="K84" i="5"/>
  <c r="K84" i="6" s="1"/>
  <c r="J84" i="5"/>
  <c r="J84" i="6" s="1"/>
  <c r="I84" i="5"/>
  <c r="I84" i="6" s="1"/>
  <c r="H84" i="5"/>
  <c r="H84" i="6" s="1"/>
  <c r="G84" i="5"/>
  <c r="G84" i="6" s="1"/>
  <c r="F84" i="5"/>
  <c r="F84" i="6" s="1"/>
  <c r="E84" i="5"/>
  <c r="E84" i="6" s="1"/>
  <c r="D84" i="5"/>
  <c r="D84" i="6" s="1"/>
  <c r="C84" i="5"/>
  <c r="C84" i="6" s="1"/>
  <c r="B84" i="5"/>
  <c r="B84" i="6" s="1"/>
  <c r="P83" i="5"/>
  <c r="P82"/>
  <c r="O75"/>
  <c r="O75" i="6" s="1"/>
  <c r="N75" i="5"/>
  <c r="N75" i="6" s="1"/>
  <c r="M75" i="5"/>
  <c r="M75" i="6" s="1"/>
  <c r="L75" i="5"/>
  <c r="L75" i="6" s="1"/>
  <c r="K75" i="5"/>
  <c r="K75" i="6" s="1"/>
  <c r="J75" i="5"/>
  <c r="J75" i="6" s="1"/>
  <c r="I75" i="5"/>
  <c r="I75" i="6" s="1"/>
  <c r="H75" i="5"/>
  <c r="H75" i="6" s="1"/>
  <c r="G75" i="5"/>
  <c r="G75" i="6" s="1"/>
  <c r="F75" i="5"/>
  <c r="F75" i="6" s="1"/>
  <c r="E75" i="5"/>
  <c r="E75" i="6" s="1"/>
  <c r="D75" i="5"/>
  <c r="D75" i="6" s="1"/>
  <c r="C75" i="5"/>
  <c r="C75" i="6" s="1"/>
  <c r="B75" i="5"/>
  <c r="B75" i="6" s="1"/>
  <c r="O74" i="5"/>
  <c r="O74" i="6" s="1"/>
  <c r="N74" i="5"/>
  <c r="N74" i="6" s="1"/>
  <c r="M74" i="5"/>
  <c r="M74" i="6" s="1"/>
  <c r="L74" i="5"/>
  <c r="L74" i="6" s="1"/>
  <c r="K74" i="5"/>
  <c r="K74" i="6" s="1"/>
  <c r="J74" i="5"/>
  <c r="J74" i="6" s="1"/>
  <c r="I74" i="5"/>
  <c r="I74" i="6" s="1"/>
  <c r="H74" i="5"/>
  <c r="H74" i="6" s="1"/>
  <c r="G74" i="5"/>
  <c r="G74" i="6" s="1"/>
  <c r="F74" i="5"/>
  <c r="F74" i="6" s="1"/>
  <c r="E74" i="5"/>
  <c r="E74" i="6" s="1"/>
  <c r="D74" i="5"/>
  <c r="D74" i="6" s="1"/>
  <c r="C74" i="5"/>
  <c r="C74" i="6" s="1"/>
  <c r="B74" i="5"/>
  <c r="B74" i="6" s="1"/>
  <c r="O73" i="5"/>
  <c r="O73" i="6" s="1"/>
  <c r="N73" i="5"/>
  <c r="N73" i="6" s="1"/>
  <c r="M73" i="5"/>
  <c r="M73" i="6" s="1"/>
  <c r="L73" i="5"/>
  <c r="L73" i="6" s="1"/>
  <c r="K73" i="5"/>
  <c r="K73" i="6" s="1"/>
  <c r="J73" i="5"/>
  <c r="J73" i="6" s="1"/>
  <c r="I73" i="5"/>
  <c r="I73" i="6" s="1"/>
  <c r="H73" i="5"/>
  <c r="H73" i="6" s="1"/>
  <c r="G73" i="5"/>
  <c r="G73" i="6" s="1"/>
  <c r="F73" i="5"/>
  <c r="F73" i="6" s="1"/>
  <c r="E73" i="5"/>
  <c r="E73" i="6" s="1"/>
  <c r="D73" i="5"/>
  <c r="D73" i="6" s="1"/>
  <c r="C73" i="5"/>
  <c r="C73" i="6" s="1"/>
  <c r="B73" i="5"/>
  <c r="B73" i="6" s="1"/>
  <c r="O72" i="5"/>
  <c r="O72" i="6" s="1"/>
  <c r="N72" i="5"/>
  <c r="N72" i="6" s="1"/>
  <c r="M72" i="5"/>
  <c r="L72"/>
  <c r="L72" i="6" s="1"/>
  <c r="K72" i="5"/>
  <c r="K72" i="6" s="1"/>
  <c r="J72" i="5"/>
  <c r="J72" i="6" s="1"/>
  <c r="I72" i="5"/>
  <c r="H72"/>
  <c r="H72" i="6" s="1"/>
  <c r="G72" i="5"/>
  <c r="G72" i="6" s="1"/>
  <c r="F72" i="5"/>
  <c r="F72" i="6" s="1"/>
  <c r="E72" i="5"/>
  <c r="E72" i="6" s="1"/>
  <c r="D72" i="5"/>
  <c r="D72" i="6" s="1"/>
  <c r="C72" i="5"/>
  <c r="C72" i="6" s="1"/>
  <c r="B72" i="5"/>
  <c r="B72" i="6" s="1"/>
  <c r="O71" i="5"/>
  <c r="O71" i="6" s="1"/>
  <c r="N71" i="5"/>
  <c r="N71" i="6" s="1"/>
  <c r="M71" i="5"/>
  <c r="L71"/>
  <c r="L71" i="6" s="1"/>
  <c r="K71" i="5"/>
  <c r="K71" i="6" s="1"/>
  <c r="J71" i="5"/>
  <c r="J71" i="6" s="1"/>
  <c r="I71" i="5"/>
  <c r="I71" i="6" s="1"/>
  <c r="H71" i="5"/>
  <c r="H71" i="6" s="1"/>
  <c r="G71" i="5"/>
  <c r="G71" i="6" s="1"/>
  <c r="F71" i="5"/>
  <c r="F71" i="6" s="1"/>
  <c r="E71" i="5"/>
  <c r="E71" i="6" s="1"/>
  <c r="D71" i="5"/>
  <c r="D71" i="6" s="1"/>
  <c r="C71" i="5"/>
  <c r="C71" i="6" s="1"/>
  <c r="B71" i="5"/>
  <c r="B71" i="6" s="1"/>
  <c r="O70" i="5"/>
  <c r="O70" i="6" s="1"/>
  <c r="N70" i="5"/>
  <c r="N70" i="6" s="1"/>
  <c r="M70" i="5"/>
  <c r="L70"/>
  <c r="L70" i="6" s="1"/>
  <c r="K70" i="5"/>
  <c r="K70" i="6" s="1"/>
  <c r="J70" i="5"/>
  <c r="J70" i="6" s="1"/>
  <c r="I70" i="5"/>
  <c r="I70" i="6" s="1"/>
  <c r="H70" i="5"/>
  <c r="H70" i="6" s="1"/>
  <c r="G70" i="5"/>
  <c r="G70" i="6" s="1"/>
  <c r="F70" i="5"/>
  <c r="F70" i="6" s="1"/>
  <c r="E70" i="5"/>
  <c r="E70" i="6" s="1"/>
  <c r="D70" i="5"/>
  <c r="D70" i="6" s="1"/>
  <c r="C70" i="5"/>
  <c r="C70" i="6" s="1"/>
  <c r="B70" i="5"/>
  <c r="B70" i="6" s="1"/>
  <c r="O69" i="5"/>
  <c r="O69" i="6" s="1"/>
  <c r="N69" i="5"/>
  <c r="N69" i="6" s="1"/>
  <c r="M69" i="5"/>
  <c r="L69"/>
  <c r="L69" i="6" s="1"/>
  <c r="K69" i="5"/>
  <c r="K69" i="6" s="1"/>
  <c r="J69" i="5"/>
  <c r="J69" i="6" s="1"/>
  <c r="I69" i="5"/>
  <c r="I69" i="6" s="1"/>
  <c r="H69" i="5"/>
  <c r="H69" i="6" s="1"/>
  <c r="G69" i="5"/>
  <c r="G69" i="6" s="1"/>
  <c r="F69" i="5"/>
  <c r="F69" i="6" s="1"/>
  <c r="E69" i="5"/>
  <c r="E69" i="6" s="1"/>
  <c r="D69" i="5"/>
  <c r="D69" i="6" s="1"/>
  <c r="C69" i="5"/>
  <c r="C69" i="6" s="1"/>
  <c r="B69" i="5"/>
  <c r="B69" i="6" s="1"/>
  <c r="O68" i="5"/>
  <c r="O68" i="6" s="1"/>
  <c r="N68" i="5"/>
  <c r="N68" i="6" s="1"/>
  <c r="M68" i="5"/>
  <c r="M68" i="6" s="1"/>
  <c r="L68" i="5"/>
  <c r="L68" i="6" s="1"/>
  <c r="K68" i="5"/>
  <c r="K68" i="6" s="1"/>
  <c r="J68" i="5"/>
  <c r="J68" i="6" s="1"/>
  <c r="I68" i="5"/>
  <c r="I68" i="6" s="1"/>
  <c r="H68" i="5"/>
  <c r="H68" i="6" s="1"/>
  <c r="G68" i="5"/>
  <c r="G68" i="6" s="1"/>
  <c r="F68" i="5"/>
  <c r="F68" i="6" s="1"/>
  <c r="E68" i="5"/>
  <c r="E68" i="6" s="1"/>
  <c r="D68" i="5"/>
  <c r="D68" i="6" s="1"/>
  <c r="C68" i="5"/>
  <c r="C68" i="6" s="1"/>
  <c r="B68" i="5"/>
  <c r="B68" i="6" s="1"/>
  <c r="O67" i="5"/>
  <c r="O67" i="6" s="1"/>
  <c r="N67" i="5"/>
  <c r="N67" i="6" s="1"/>
  <c r="M67" i="5"/>
  <c r="M67" i="6" s="1"/>
  <c r="L67" i="5"/>
  <c r="L67" i="6" s="1"/>
  <c r="K67" i="5"/>
  <c r="K67" i="6" s="1"/>
  <c r="J67" i="5"/>
  <c r="J67" i="6" s="1"/>
  <c r="I67" i="5"/>
  <c r="I67" i="6" s="1"/>
  <c r="H67" i="5"/>
  <c r="H67" i="6" s="1"/>
  <c r="G67" i="5"/>
  <c r="G67" i="6" s="1"/>
  <c r="F67" i="5"/>
  <c r="F67" i="6" s="1"/>
  <c r="E67" i="5"/>
  <c r="E67" i="6" s="1"/>
  <c r="D67" i="5"/>
  <c r="D67" i="6" s="1"/>
  <c r="C67" i="5"/>
  <c r="C67" i="6" s="1"/>
  <c r="B67" i="5"/>
  <c r="B67" i="6" s="1"/>
  <c r="O66" i="5"/>
  <c r="O66" i="6" s="1"/>
  <c r="N66" i="5"/>
  <c r="N66" i="6" s="1"/>
  <c r="M66" i="5"/>
  <c r="L66"/>
  <c r="L66" i="6" s="1"/>
  <c r="K66" i="5"/>
  <c r="K66" i="6" s="1"/>
  <c r="J66" i="5"/>
  <c r="J66" i="6" s="1"/>
  <c r="I66" i="5"/>
  <c r="I66" i="6" s="1"/>
  <c r="H66" i="5"/>
  <c r="H66" i="6" s="1"/>
  <c r="G66" i="5"/>
  <c r="G66" i="6" s="1"/>
  <c r="F66" i="5"/>
  <c r="F66" i="6" s="1"/>
  <c r="E66" i="5"/>
  <c r="E66" i="6" s="1"/>
  <c r="D66" i="5"/>
  <c r="D66" i="6" s="1"/>
  <c r="C66" i="5"/>
  <c r="C66" i="6" s="1"/>
  <c r="B66" i="5"/>
  <c r="B66" i="6" s="1"/>
  <c r="O65" i="5"/>
  <c r="O65" i="6" s="1"/>
  <c r="N65" i="5"/>
  <c r="N65" i="6" s="1"/>
  <c r="M65" i="5"/>
  <c r="M65" i="6" s="1"/>
  <c r="L65" i="5"/>
  <c r="L65" i="6" s="1"/>
  <c r="K65" i="5"/>
  <c r="K65" i="6" s="1"/>
  <c r="J65" i="5"/>
  <c r="J65" i="6" s="1"/>
  <c r="I65" i="5"/>
  <c r="I65" i="6" s="1"/>
  <c r="H65" i="5"/>
  <c r="H65" i="6" s="1"/>
  <c r="G65" i="5"/>
  <c r="G65" i="6" s="1"/>
  <c r="F65" i="5"/>
  <c r="F65" i="6" s="1"/>
  <c r="E65" i="5"/>
  <c r="E65" i="6" s="1"/>
  <c r="D65" i="5"/>
  <c r="D65" i="6" s="1"/>
  <c r="C65" i="5"/>
  <c r="C65" i="6" s="1"/>
  <c r="B65" i="5"/>
  <c r="B65" i="6" s="1"/>
  <c r="O64" i="5"/>
  <c r="O64" i="6" s="1"/>
  <c r="N64" i="5"/>
  <c r="N64" i="6" s="1"/>
  <c r="M64" i="5"/>
  <c r="M64" i="6" s="1"/>
  <c r="L64" i="5"/>
  <c r="L64" i="6" s="1"/>
  <c r="K64" i="5"/>
  <c r="K64" i="6" s="1"/>
  <c r="J64" i="5"/>
  <c r="J64" i="6" s="1"/>
  <c r="I64" i="5"/>
  <c r="I64" i="6" s="1"/>
  <c r="H64" i="5"/>
  <c r="H64" i="6" s="1"/>
  <c r="G64" i="5"/>
  <c r="G64" i="6" s="1"/>
  <c r="F64" i="5"/>
  <c r="F64" i="6" s="1"/>
  <c r="E64" i="5"/>
  <c r="E64" i="6" s="1"/>
  <c r="D64" i="5"/>
  <c r="D64" i="6" s="1"/>
  <c r="C64" i="5"/>
  <c r="C64" i="6" s="1"/>
  <c r="B64" i="5"/>
  <c r="B64" i="6" s="1"/>
  <c r="O63" i="5"/>
  <c r="O63" i="6" s="1"/>
  <c r="N63" i="5"/>
  <c r="N63" i="6" s="1"/>
  <c r="M63" i="5"/>
  <c r="L63"/>
  <c r="L63" i="6" s="1"/>
  <c r="K63" i="5"/>
  <c r="K63" i="6" s="1"/>
  <c r="J63" i="5"/>
  <c r="J63" i="6" s="1"/>
  <c r="I63" i="5"/>
  <c r="I63" i="6" s="1"/>
  <c r="H63" i="5"/>
  <c r="H63" i="6" s="1"/>
  <c r="G63" i="5"/>
  <c r="G63" i="6" s="1"/>
  <c r="F63" i="5"/>
  <c r="F63" i="6" s="1"/>
  <c r="E63" i="5"/>
  <c r="E63" i="6" s="1"/>
  <c r="D63" i="5"/>
  <c r="D63" i="6" s="1"/>
  <c r="C63" i="5"/>
  <c r="C63" i="6" s="1"/>
  <c r="B63" i="5"/>
  <c r="B63" i="6" s="1"/>
  <c r="O62" i="5"/>
  <c r="O62" i="6" s="1"/>
  <c r="N62" i="5"/>
  <c r="N62" i="6" s="1"/>
  <c r="M62" i="5"/>
  <c r="M62" i="6" s="1"/>
  <c r="L62" i="5"/>
  <c r="L62" i="6" s="1"/>
  <c r="K62" i="5"/>
  <c r="K62" i="6" s="1"/>
  <c r="J62" i="5"/>
  <c r="J62" i="6" s="1"/>
  <c r="I62" i="5"/>
  <c r="I62" i="6" s="1"/>
  <c r="H62" i="5"/>
  <c r="H62" i="6" s="1"/>
  <c r="G62" i="5"/>
  <c r="G62" i="6" s="1"/>
  <c r="F62" i="5"/>
  <c r="F62" i="6" s="1"/>
  <c r="E62" i="5"/>
  <c r="E62" i="6" s="1"/>
  <c r="D62" i="5"/>
  <c r="D62" i="6" s="1"/>
  <c r="C62" i="5"/>
  <c r="C62" i="6" s="1"/>
  <c r="B62" i="5"/>
  <c r="B62" i="6" s="1"/>
  <c r="O61" i="5"/>
  <c r="O61" i="6" s="1"/>
  <c r="N61" i="5"/>
  <c r="N61" i="6" s="1"/>
  <c r="M61" i="5"/>
  <c r="M61" i="6" s="1"/>
  <c r="L61" i="5"/>
  <c r="L61" i="6" s="1"/>
  <c r="K61" i="5"/>
  <c r="K61" i="6" s="1"/>
  <c r="J61" i="5"/>
  <c r="J61" i="6" s="1"/>
  <c r="I61" i="5"/>
  <c r="I61" i="6" s="1"/>
  <c r="H61" i="5"/>
  <c r="H61" i="6" s="1"/>
  <c r="G61" i="5"/>
  <c r="G61" i="6" s="1"/>
  <c r="F61" i="5"/>
  <c r="F61" i="6" s="1"/>
  <c r="E61" i="5"/>
  <c r="E61" i="6" s="1"/>
  <c r="D61" i="5"/>
  <c r="D61" i="6" s="1"/>
  <c r="C61" i="5"/>
  <c r="C61" i="6" s="1"/>
  <c r="B61" i="5"/>
  <c r="B61" i="6" s="1"/>
  <c r="O60" i="5"/>
  <c r="O60" i="6" s="1"/>
  <c r="N60" i="5"/>
  <c r="N60" i="6" s="1"/>
  <c r="M60" i="5"/>
  <c r="L60"/>
  <c r="L60" i="6" s="1"/>
  <c r="K60" i="5"/>
  <c r="K60" i="6" s="1"/>
  <c r="J60" i="5"/>
  <c r="J60" i="6" s="1"/>
  <c r="I60" i="5"/>
  <c r="I60" i="6" s="1"/>
  <c r="H60" i="5"/>
  <c r="H60" i="6" s="1"/>
  <c r="G60" i="5"/>
  <c r="G60" i="6" s="1"/>
  <c r="F60" i="5"/>
  <c r="F60" i="6" s="1"/>
  <c r="E60" i="5"/>
  <c r="E60" i="6" s="1"/>
  <c r="D60" i="5"/>
  <c r="D60" i="6" s="1"/>
  <c r="C60" i="5"/>
  <c r="C60" i="6" s="1"/>
  <c r="B60" i="5"/>
  <c r="B60" i="6" s="1"/>
  <c r="O59" i="5"/>
  <c r="O59" i="6" s="1"/>
  <c r="N59" i="5"/>
  <c r="N59" i="6" s="1"/>
  <c r="M59" i="5"/>
  <c r="L59"/>
  <c r="L59" i="6" s="1"/>
  <c r="K59" i="5"/>
  <c r="K59" i="6" s="1"/>
  <c r="J59" i="5"/>
  <c r="J59" i="6" s="1"/>
  <c r="I59" i="5"/>
  <c r="I59" i="6" s="1"/>
  <c r="H59" i="5"/>
  <c r="H59" i="6" s="1"/>
  <c r="G59" i="5"/>
  <c r="G59" i="6" s="1"/>
  <c r="F59" i="5"/>
  <c r="F59" i="6" s="1"/>
  <c r="E59" i="5"/>
  <c r="E59" i="6" s="1"/>
  <c r="D59" i="5"/>
  <c r="D59" i="6" s="1"/>
  <c r="C59" i="5"/>
  <c r="C59" i="6" s="1"/>
  <c r="B59" i="5"/>
  <c r="B59" i="6" s="1"/>
  <c r="O58" i="5"/>
  <c r="N58"/>
  <c r="N58" i="6" s="1"/>
  <c r="M58" i="5"/>
  <c r="L58"/>
  <c r="K58"/>
  <c r="K58" i="6" s="1"/>
  <c r="J58" i="5"/>
  <c r="I58"/>
  <c r="H58"/>
  <c r="H58" i="6" s="1"/>
  <c r="G58" i="5"/>
  <c r="G58" i="6" s="1"/>
  <c r="F58" i="5"/>
  <c r="F58" i="6" s="1"/>
  <c r="E58" i="5"/>
  <c r="E58" i="6" s="1"/>
  <c r="D58" i="5"/>
  <c r="D58" i="6" s="1"/>
  <c r="C58" i="5"/>
  <c r="B58"/>
  <c r="O57"/>
  <c r="O57" i="6" s="1"/>
  <c r="N57" i="5"/>
  <c r="N57" i="6" s="1"/>
  <c r="M57" i="5"/>
  <c r="L57"/>
  <c r="L57" i="6" s="1"/>
  <c r="K57" i="5"/>
  <c r="K57" i="6" s="1"/>
  <c r="J57" i="5"/>
  <c r="J57" i="6" s="1"/>
  <c r="I57" i="5"/>
  <c r="I57" i="6" s="1"/>
  <c r="H57" i="5"/>
  <c r="H57" i="6" s="1"/>
  <c r="G57" i="5"/>
  <c r="G57" i="6" s="1"/>
  <c r="F57" i="5"/>
  <c r="E57"/>
  <c r="E57" i="6" s="1"/>
  <c r="D57" i="5"/>
  <c r="D57" i="6" s="1"/>
  <c r="C57" i="5"/>
  <c r="C57" i="6" s="1"/>
  <c r="B57" i="5"/>
  <c r="O56"/>
  <c r="O56" i="6" s="1"/>
  <c r="N56" i="5"/>
  <c r="N56" i="6" s="1"/>
  <c r="M56" i="5"/>
  <c r="L56"/>
  <c r="L56" i="6" s="1"/>
  <c r="K56" i="5"/>
  <c r="K56" i="6" s="1"/>
  <c r="J56" i="5"/>
  <c r="I56"/>
  <c r="H56"/>
  <c r="H56" i="6" s="1"/>
  <c r="G56" i="5"/>
  <c r="G56" i="6" s="1"/>
  <c r="F56" i="5"/>
  <c r="E56"/>
  <c r="E56" i="6" s="1"/>
  <c r="D56" i="5"/>
  <c r="D56" i="6" s="1"/>
  <c r="C56" i="5"/>
  <c r="B56"/>
  <c r="O55"/>
  <c r="N55"/>
  <c r="N55" i="6" s="1"/>
  <c r="M55" i="5"/>
  <c r="L55"/>
  <c r="L55" i="6" s="1"/>
  <c r="K55" i="5"/>
  <c r="K55" i="6" s="1"/>
  <c r="J55" i="5"/>
  <c r="I55"/>
  <c r="H55"/>
  <c r="H55" i="6" s="1"/>
  <c r="G55" i="5"/>
  <c r="G55" i="6" s="1"/>
  <c r="F55" i="5"/>
  <c r="E55"/>
  <c r="E55" i="6" s="1"/>
  <c r="D55" i="5"/>
  <c r="D55" i="6" s="1"/>
  <c r="C55" i="5"/>
  <c r="B55"/>
  <c r="O54"/>
  <c r="O54" i="6" s="1"/>
  <c r="N54" i="5"/>
  <c r="N54" i="6" s="1"/>
  <c r="M54" i="5"/>
  <c r="L54"/>
  <c r="L54" i="6" s="1"/>
  <c r="K54" i="5"/>
  <c r="K54" i="6" s="1"/>
  <c r="J54" i="5"/>
  <c r="J54" i="6" s="1"/>
  <c r="I54" i="5"/>
  <c r="I54" i="6" s="1"/>
  <c r="H54" i="5"/>
  <c r="H54" i="6" s="1"/>
  <c r="G54" i="5"/>
  <c r="G54" i="6" s="1"/>
  <c r="F54" i="5"/>
  <c r="F54" i="6" s="1"/>
  <c r="E54" i="5"/>
  <c r="E54" i="6" s="1"/>
  <c r="D54" i="5"/>
  <c r="D54" i="6" s="1"/>
  <c r="C54" i="5"/>
  <c r="C54" i="6" s="1"/>
  <c r="B54" i="5"/>
  <c r="O53"/>
  <c r="O53" i="6" s="1"/>
  <c r="N53" i="5"/>
  <c r="N53" i="6" s="1"/>
  <c r="M53" i="5"/>
  <c r="L53"/>
  <c r="L53" i="6" s="1"/>
  <c r="K53" i="5"/>
  <c r="K53" i="6" s="1"/>
  <c r="J53" i="5"/>
  <c r="J53" i="6" s="1"/>
  <c r="I53" i="5"/>
  <c r="I53" i="6" s="1"/>
  <c r="H53" i="5"/>
  <c r="H53" i="6" s="1"/>
  <c r="G53" i="5"/>
  <c r="G53" i="6" s="1"/>
  <c r="F53" i="5"/>
  <c r="F53" i="6" s="1"/>
  <c r="E53" i="5"/>
  <c r="E53" i="6" s="1"/>
  <c r="D53" i="5"/>
  <c r="D53" i="6" s="1"/>
  <c r="C53" i="5"/>
  <c r="C53" i="6" s="1"/>
  <c r="B53" i="5"/>
  <c r="P52"/>
  <c r="P51"/>
  <c r="O42"/>
  <c r="O42" i="6" s="1"/>
  <c r="N42" i="5"/>
  <c r="N42" i="6" s="1"/>
  <c r="M42" i="5"/>
  <c r="L42"/>
  <c r="L42" i="6" s="1"/>
  <c r="K42" i="5"/>
  <c r="K42" i="6" s="1"/>
  <c r="J42" i="5"/>
  <c r="J42" i="6" s="1"/>
  <c r="I42" i="5"/>
  <c r="I42" i="6" s="1"/>
  <c r="H42" i="5"/>
  <c r="H42" i="6" s="1"/>
  <c r="G42" i="5"/>
  <c r="G42" i="6" s="1"/>
  <c r="F42" i="5"/>
  <c r="F42" i="6" s="1"/>
  <c r="E42" i="5"/>
  <c r="E42" i="6" s="1"/>
  <c r="D42" i="5"/>
  <c r="D42" i="6" s="1"/>
  <c r="C42" i="5"/>
  <c r="C42" i="6" s="1"/>
  <c r="B42" i="5"/>
  <c r="B42" i="6" s="1"/>
  <c r="O41" i="5"/>
  <c r="O41" i="6" s="1"/>
  <c r="N41" i="5"/>
  <c r="N41" i="6" s="1"/>
  <c r="M41" i="5"/>
  <c r="M41" i="6" s="1"/>
  <c r="L41" i="5"/>
  <c r="L41" i="6" s="1"/>
  <c r="K41" i="5"/>
  <c r="K41" i="6" s="1"/>
  <c r="J41" i="5"/>
  <c r="J41" i="6" s="1"/>
  <c r="I41" i="5"/>
  <c r="I41" i="6" s="1"/>
  <c r="H41" i="5"/>
  <c r="H41" i="6" s="1"/>
  <c r="G41" i="5"/>
  <c r="G41" i="6" s="1"/>
  <c r="F41" i="5"/>
  <c r="F41" i="6" s="1"/>
  <c r="E41" i="5"/>
  <c r="E41" i="6" s="1"/>
  <c r="D41" i="5"/>
  <c r="D41" i="6" s="1"/>
  <c r="C41" i="5"/>
  <c r="C41" i="6" s="1"/>
  <c r="B41" i="5"/>
  <c r="B41" i="6" s="1"/>
  <c r="O40" i="5"/>
  <c r="O40" i="6" s="1"/>
  <c r="N40" i="5"/>
  <c r="N40" i="6" s="1"/>
  <c r="M40" i="5"/>
  <c r="M40" i="6" s="1"/>
  <c r="L40" i="5"/>
  <c r="L40" i="6" s="1"/>
  <c r="K40" i="5"/>
  <c r="J40"/>
  <c r="I40"/>
  <c r="H40"/>
  <c r="G40"/>
  <c r="F40"/>
  <c r="E40"/>
  <c r="E40" i="6" s="1"/>
  <c r="D40" i="5"/>
  <c r="C40"/>
  <c r="B40"/>
  <c r="O39"/>
  <c r="O39" i="6" s="1"/>
  <c r="N39" i="5"/>
  <c r="N39" i="6" s="1"/>
  <c r="M39" i="5"/>
  <c r="M39" i="6" s="1"/>
  <c r="L39" i="5"/>
  <c r="L39" i="6" s="1"/>
  <c r="K39" i="5"/>
  <c r="K39" i="6" s="1"/>
  <c r="J39" i="5"/>
  <c r="J39" i="6" s="1"/>
  <c r="I39" i="5"/>
  <c r="I39" i="6" s="1"/>
  <c r="H39" i="5"/>
  <c r="H39" i="6" s="1"/>
  <c r="G39" i="5"/>
  <c r="G39" i="6" s="1"/>
  <c r="F39" i="5"/>
  <c r="F39" i="6" s="1"/>
  <c r="E39" i="5"/>
  <c r="E39" i="6" s="1"/>
  <c r="D39" i="5"/>
  <c r="D39" i="6" s="1"/>
  <c r="C39" i="5"/>
  <c r="C39" i="6" s="1"/>
  <c r="B39" i="5"/>
  <c r="B39" i="6" s="1"/>
  <c r="O38" i="5"/>
  <c r="O38" i="6" s="1"/>
  <c r="N38" i="5"/>
  <c r="N38" i="6" s="1"/>
  <c r="M38" i="5"/>
  <c r="M38" i="6" s="1"/>
  <c r="L38" i="5"/>
  <c r="L38" i="6" s="1"/>
  <c r="K38" i="5"/>
  <c r="J38"/>
  <c r="I38"/>
  <c r="H38"/>
  <c r="G38"/>
  <c r="F38"/>
  <c r="E38"/>
  <c r="E38" i="6" s="1"/>
  <c r="D38" i="5"/>
  <c r="C38"/>
  <c r="B38"/>
  <c r="O37"/>
  <c r="O37" i="6" s="1"/>
  <c r="N37" i="5"/>
  <c r="N37" i="6" s="1"/>
  <c r="M37" i="5"/>
  <c r="M37" i="6" s="1"/>
  <c r="L37" i="5"/>
  <c r="L37" i="6" s="1"/>
  <c r="K37" i="5"/>
  <c r="K37" i="6" s="1"/>
  <c r="J37" i="5"/>
  <c r="J37" i="6" s="1"/>
  <c r="I37" i="5"/>
  <c r="I37" i="6" s="1"/>
  <c r="H37" i="5"/>
  <c r="H37" i="6" s="1"/>
  <c r="G37" i="5"/>
  <c r="G37" i="6" s="1"/>
  <c r="F37" i="5"/>
  <c r="F37" i="6" s="1"/>
  <c r="E37" i="5"/>
  <c r="E37" i="6" s="1"/>
  <c r="D37" i="5"/>
  <c r="D37" i="6" s="1"/>
  <c r="C37" i="5"/>
  <c r="C37" i="6" s="1"/>
  <c r="B37" i="5"/>
  <c r="B37" i="6" s="1"/>
  <c r="P36" i="5"/>
  <c r="P35"/>
  <c r="O28"/>
  <c r="O28" i="6" s="1"/>
  <c r="N28" i="5"/>
  <c r="N28" i="6" s="1"/>
  <c r="M28" i="5"/>
  <c r="L28"/>
  <c r="L28" i="6" s="1"/>
  <c r="K28" i="5"/>
  <c r="K28" i="6" s="1"/>
  <c r="J28" i="5"/>
  <c r="J28" i="6" s="1"/>
  <c r="I28" i="5"/>
  <c r="I28" i="6" s="1"/>
  <c r="H28" i="5"/>
  <c r="H28" i="6" s="1"/>
  <c r="G28" i="5"/>
  <c r="G28" i="6" s="1"/>
  <c r="F28" i="5"/>
  <c r="F28" i="6" s="1"/>
  <c r="E28" i="5"/>
  <c r="E28" i="6" s="1"/>
  <c r="D28" i="5"/>
  <c r="D28" i="6" s="1"/>
  <c r="C28" i="5"/>
  <c r="C28" i="6" s="1"/>
  <c r="B28" i="5"/>
  <c r="B28" i="6" s="1"/>
  <c r="O27" i="5"/>
  <c r="O27" i="6" s="1"/>
  <c r="N27" i="5"/>
  <c r="N27" i="6" s="1"/>
  <c r="M27" i="5"/>
  <c r="L27"/>
  <c r="L27" i="6" s="1"/>
  <c r="K27" i="5"/>
  <c r="K27" i="6" s="1"/>
  <c r="J27" i="5"/>
  <c r="J27" i="6" s="1"/>
  <c r="I27" i="5"/>
  <c r="H27"/>
  <c r="H27" i="6" s="1"/>
  <c r="G27" i="5"/>
  <c r="G27" i="6" s="1"/>
  <c r="F27" i="5"/>
  <c r="F27" i="6" s="1"/>
  <c r="E27" i="5"/>
  <c r="E27" i="6" s="1"/>
  <c r="D27" i="5"/>
  <c r="D27" i="6" s="1"/>
  <c r="C27" i="5"/>
  <c r="C27" i="6" s="1"/>
  <c r="B27" i="5"/>
  <c r="B27" i="6" s="1"/>
  <c r="O26" i="5"/>
  <c r="O26" i="6" s="1"/>
  <c r="N26" i="5"/>
  <c r="N26" i="6" s="1"/>
  <c r="M26" i="5"/>
  <c r="L26"/>
  <c r="L26" i="6" s="1"/>
  <c r="K26" i="5"/>
  <c r="K26" i="6" s="1"/>
  <c r="J26" i="5"/>
  <c r="J26" i="6" s="1"/>
  <c r="I26" i="5"/>
  <c r="I26" i="6" s="1"/>
  <c r="H26" i="5"/>
  <c r="H26" i="6" s="1"/>
  <c r="G26" i="5"/>
  <c r="G26" i="6" s="1"/>
  <c r="F26" i="5"/>
  <c r="F26" i="6" s="1"/>
  <c r="E26" i="5"/>
  <c r="E26" i="6" s="1"/>
  <c r="D26" i="5"/>
  <c r="D26" i="6" s="1"/>
  <c r="C26" i="5"/>
  <c r="C26" i="6" s="1"/>
  <c r="B26" i="5"/>
  <c r="B26" i="6" s="1"/>
  <c r="O25" i="5"/>
  <c r="O25" i="6" s="1"/>
  <c r="N25" i="5"/>
  <c r="N25" i="6" s="1"/>
  <c r="M25" i="5"/>
  <c r="M25" i="6" s="1"/>
  <c r="L25" i="5"/>
  <c r="L25" i="6" s="1"/>
  <c r="K25" i="5"/>
  <c r="K25" i="6" s="1"/>
  <c r="J25" i="5"/>
  <c r="J25" i="6" s="1"/>
  <c r="I25" i="5"/>
  <c r="I25" i="6" s="1"/>
  <c r="H25" i="5"/>
  <c r="H25" i="6" s="1"/>
  <c r="G25" i="5"/>
  <c r="G25" i="6" s="1"/>
  <c r="F25" i="5"/>
  <c r="F25" i="6" s="1"/>
  <c r="E25" i="5"/>
  <c r="E25" i="6" s="1"/>
  <c r="D25" i="5"/>
  <c r="D25" i="6" s="1"/>
  <c r="C25" i="5"/>
  <c r="C25" i="6" s="1"/>
  <c r="B25" i="5"/>
  <c r="B25" i="6" s="1"/>
  <c r="O24" i="5"/>
  <c r="O24" i="6" s="1"/>
  <c r="N24" i="5"/>
  <c r="N24" i="6" s="1"/>
  <c r="M24" i="5"/>
  <c r="L24"/>
  <c r="L24" i="6" s="1"/>
  <c r="K24" i="5"/>
  <c r="K24" i="6" s="1"/>
  <c r="J24" i="5"/>
  <c r="J24" i="6" s="1"/>
  <c r="I24" i="5"/>
  <c r="I24" i="6" s="1"/>
  <c r="H24" i="5"/>
  <c r="H24" i="6" s="1"/>
  <c r="G24" i="5"/>
  <c r="G24" i="6" s="1"/>
  <c r="F24" i="5"/>
  <c r="F24" i="6" s="1"/>
  <c r="E24" i="5"/>
  <c r="E24" i="6" s="1"/>
  <c r="D24" i="5"/>
  <c r="D24" i="6" s="1"/>
  <c r="C24" i="5"/>
  <c r="C24" i="6" s="1"/>
  <c r="B24" i="5"/>
  <c r="B24" i="6" s="1"/>
  <c r="O23" i="5"/>
  <c r="O23" i="6" s="1"/>
  <c r="N23" i="5"/>
  <c r="N23" i="6" s="1"/>
  <c r="M23" i="5"/>
  <c r="L23"/>
  <c r="L23" i="6" s="1"/>
  <c r="K23" i="5"/>
  <c r="K23" i="6" s="1"/>
  <c r="J23" i="5"/>
  <c r="J23" i="6" s="1"/>
  <c r="I23" i="5"/>
  <c r="I23" i="6" s="1"/>
  <c r="H23" i="5"/>
  <c r="H23" i="6" s="1"/>
  <c r="G23" i="5"/>
  <c r="G23" i="6" s="1"/>
  <c r="F23" i="5"/>
  <c r="F23" i="6" s="1"/>
  <c r="E23" i="5"/>
  <c r="E23" i="6" s="1"/>
  <c r="D23" i="5"/>
  <c r="D23" i="6" s="1"/>
  <c r="C23" i="5"/>
  <c r="C23" i="6" s="1"/>
  <c r="B23" i="5"/>
  <c r="B23" i="6" s="1"/>
  <c r="O22" i="5"/>
  <c r="O22" i="6" s="1"/>
  <c r="N22" i="5"/>
  <c r="N22" i="6" s="1"/>
  <c r="M22" i="5"/>
  <c r="M22" i="6" s="1"/>
  <c r="L22" i="5"/>
  <c r="L22" i="6" s="1"/>
  <c r="K22" i="5"/>
  <c r="K22" i="6" s="1"/>
  <c r="J22" i="5"/>
  <c r="J22" i="6" s="1"/>
  <c r="I22" i="5"/>
  <c r="I22" i="6" s="1"/>
  <c r="H22" i="5"/>
  <c r="H22" i="6" s="1"/>
  <c r="G22" i="5"/>
  <c r="G22" i="6" s="1"/>
  <c r="F22" i="5"/>
  <c r="F22" i="6" s="1"/>
  <c r="E22" i="5"/>
  <c r="E22" i="6" s="1"/>
  <c r="D22" i="5"/>
  <c r="D22" i="6" s="1"/>
  <c r="C22" i="5"/>
  <c r="C22" i="6" s="1"/>
  <c r="B22" i="5"/>
  <c r="B22" i="6" s="1"/>
  <c r="O21" i="5"/>
  <c r="O21" i="6" s="1"/>
  <c r="N21" i="5"/>
  <c r="N21" i="6" s="1"/>
  <c r="M21" i="5"/>
  <c r="M21" i="6" s="1"/>
  <c r="L21" i="5"/>
  <c r="L21" i="6" s="1"/>
  <c r="K21" i="5"/>
  <c r="K21" i="6" s="1"/>
  <c r="J21" i="5"/>
  <c r="J21" i="6" s="1"/>
  <c r="I21" i="5"/>
  <c r="I21" i="6" s="1"/>
  <c r="H21" i="5"/>
  <c r="H21" i="6" s="1"/>
  <c r="G21" i="5"/>
  <c r="G21" i="6" s="1"/>
  <c r="F21" i="5"/>
  <c r="F21" i="6" s="1"/>
  <c r="E21" i="5"/>
  <c r="E21" i="6" s="1"/>
  <c r="D21" i="5"/>
  <c r="D21" i="6" s="1"/>
  <c r="C21" i="5"/>
  <c r="C21" i="6" s="1"/>
  <c r="B21" i="5"/>
  <c r="B21" i="6" s="1"/>
  <c r="O20" i="5"/>
  <c r="O20" i="6" s="1"/>
  <c r="N20" i="5"/>
  <c r="N20" i="6" s="1"/>
  <c r="M20" i="5"/>
  <c r="M20" i="6" s="1"/>
  <c r="L20" i="5"/>
  <c r="L20" i="6" s="1"/>
  <c r="K20" i="5"/>
  <c r="K20" i="6" s="1"/>
  <c r="J20" i="5"/>
  <c r="J20" i="6" s="1"/>
  <c r="I20" i="5"/>
  <c r="I20" i="6" s="1"/>
  <c r="H20" i="5"/>
  <c r="H20" i="6" s="1"/>
  <c r="G20" i="5"/>
  <c r="G20" i="6" s="1"/>
  <c r="F20" i="5"/>
  <c r="F20" i="6" s="1"/>
  <c r="E20" i="5"/>
  <c r="E20" i="6" s="1"/>
  <c r="D20" i="5"/>
  <c r="D20" i="6" s="1"/>
  <c r="C20" i="5"/>
  <c r="C20" i="6" s="1"/>
  <c r="B20" i="5"/>
  <c r="B20" i="6" s="1"/>
  <c r="O19" i="5"/>
  <c r="O19" i="6" s="1"/>
  <c r="N19" i="5"/>
  <c r="N19" i="6" s="1"/>
  <c r="M19" i="5"/>
  <c r="M19" i="6" s="1"/>
  <c r="L19" i="5"/>
  <c r="L19" i="6" s="1"/>
  <c r="K19" i="5"/>
  <c r="K19" i="6" s="1"/>
  <c r="J19" i="5"/>
  <c r="J19" i="6" s="1"/>
  <c r="I19" i="5"/>
  <c r="I19" i="6" s="1"/>
  <c r="H19" i="5"/>
  <c r="H19" i="6" s="1"/>
  <c r="G19" i="5"/>
  <c r="G19" i="6" s="1"/>
  <c r="F19" i="5"/>
  <c r="F19" i="6" s="1"/>
  <c r="E19" i="5"/>
  <c r="E19" i="6" s="1"/>
  <c r="D19" i="5"/>
  <c r="D19" i="6" s="1"/>
  <c r="C19" i="5"/>
  <c r="C19" i="6" s="1"/>
  <c r="B19" i="5"/>
  <c r="B19" i="6" s="1"/>
  <c r="O18" i="5"/>
  <c r="O18" i="6" s="1"/>
  <c r="N18" i="5"/>
  <c r="N18" i="6" s="1"/>
  <c r="M18" i="5"/>
  <c r="L18"/>
  <c r="L18" i="6" s="1"/>
  <c r="K18" i="5"/>
  <c r="K18" i="6" s="1"/>
  <c r="J18" i="5"/>
  <c r="J18" i="6" s="1"/>
  <c r="I18" i="5"/>
  <c r="I18" i="6" s="1"/>
  <c r="H18" i="5"/>
  <c r="H18" i="6" s="1"/>
  <c r="G18" i="5"/>
  <c r="G18" i="6" s="1"/>
  <c r="F18" i="5"/>
  <c r="F18" i="6" s="1"/>
  <c r="E18" i="5"/>
  <c r="E18" i="6" s="1"/>
  <c r="D18" i="5"/>
  <c r="D18" i="6" s="1"/>
  <c r="C18" i="5"/>
  <c r="C18" i="6" s="1"/>
  <c r="B18" i="5"/>
  <c r="B18" i="6" s="1"/>
  <c r="O17" i="5"/>
  <c r="O17" i="6" s="1"/>
  <c r="N17" i="5"/>
  <c r="N17" i="6" s="1"/>
  <c r="M17" i="5"/>
  <c r="M17" i="6" s="1"/>
  <c r="L17" i="5"/>
  <c r="L17" i="6" s="1"/>
  <c r="K17" i="5"/>
  <c r="K17" i="6" s="1"/>
  <c r="J17" i="5"/>
  <c r="J17" i="6" s="1"/>
  <c r="I17" i="5"/>
  <c r="I17" i="6" s="1"/>
  <c r="H17" i="5"/>
  <c r="H17" i="6" s="1"/>
  <c r="G17" i="5"/>
  <c r="G17" i="6" s="1"/>
  <c r="F17" i="5"/>
  <c r="F17" i="6" s="1"/>
  <c r="E17" i="5"/>
  <c r="E17" i="6" s="1"/>
  <c r="D17" i="5"/>
  <c r="D17" i="6" s="1"/>
  <c r="C17" i="5"/>
  <c r="C17" i="6" s="1"/>
  <c r="B17" i="5"/>
  <c r="B17" i="6" s="1"/>
  <c r="O16" i="5"/>
  <c r="O16" i="6" s="1"/>
  <c r="N16" i="5"/>
  <c r="N16" i="6" s="1"/>
  <c r="M16" i="5"/>
  <c r="L16"/>
  <c r="L16" i="6" s="1"/>
  <c r="K16" i="5"/>
  <c r="K16" i="6" s="1"/>
  <c r="J16" i="5"/>
  <c r="J16" i="6" s="1"/>
  <c r="I16" i="5"/>
  <c r="I16" i="6" s="1"/>
  <c r="H16" i="5"/>
  <c r="H16" i="6" s="1"/>
  <c r="G16" i="5"/>
  <c r="G16" i="6" s="1"/>
  <c r="F16" i="5"/>
  <c r="F16" i="6" s="1"/>
  <c r="E16" i="5"/>
  <c r="E16" i="6" s="1"/>
  <c r="D16" i="5"/>
  <c r="D16" i="6" s="1"/>
  <c r="C16" i="5"/>
  <c r="C16" i="6" s="1"/>
  <c r="B16" i="5"/>
  <c r="B16" i="6" s="1"/>
  <c r="P15" i="5"/>
  <c r="P14"/>
  <c r="F37" i="2"/>
  <c r="K16"/>
  <c r="Q376" i="1"/>
  <c r="Q107" i="4" s="1"/>
  <c r="P376" i="1"/>
  <c r="P107" i="4" s="1"/>
  <c r="O376" i="1"/>
  <c r="O107" i="4" s="1"/>
  <c r="N376" i="1"/>
  <c r="N107" i="4" s="1"/>
  <c r="M376" i="1"/>
  <c r="M107" i="4" s="1"/>
  <c r="L376" i="1"/>
  <c r="L107" i="4" s="1"/>
  <c r="K376" i="1"/>
  <c r="K107" i="4" s="1"/>
  <c r="J376" i="1"/>
  <c r="J107" i="4" s="1"/>
  <c r="I376" i="1"/>
  <c r="I107" i="4" s="1"/>
  <c r="H376" i="1"/>
  <c r="H107" i="4" s="1"/>
  <c r="G376" i="1"/>
  <c r="G107" i="4" s="1"/>
  <c r="F376" i="1"/>
  <c r="F107" i="4" s="1"/>
  <c r="E376" i="1"/>
  <c r="E107" i="4" s="1"/>
  <c r="D376" i="1"/>
  <c r="D107" i="4" s="1"/>
  <c r="C376" i="1"/>
  <c r="C107" i="4" s="1"/>
  <c r="B376" i="1"/>
  <c r="B107" i="4" s="1"/>
  <c r="Q375" i="1"/>
  <c r="Q106" i="4" s="1"/>
  <c r="P375" i="1"/>
  <c r="P106" i="4" s="1"/>
  <c r="O375" i="1"/>
  <c r="O106" i="4" s="1"/>
  <c r="N375" i="1"/>
  <c r="N106" i="4" s="1"/>
  <c r="M375" i="1"/>
  <c r="M106" i="4" s="1"/>
  <c r="L375" i="1"/>
  <c r="L106" i="4" s="1"/>
  <c r="K375" i="1"/>
  <c r="K106" i="4" s="1"/>
  <c r="J375" i="1"/>
  <c r="J106" i="4" s="1"/>
  <c r="I375" i="1"/>
  <c r="I106" i="4" s="1"/>
  <c r="H375" i="1"/>
  <c r="H106" i="4" s="1"/>
  <c r="G375" i="1"/>
  <c r="G106" i="4" s="1"/>
  <c r="F375" i="1"/>
  <c r="F106" i="4" s="1"/>
  <c r="E375" i="1"/>
  <c r="E106" i="4" s="1"/>
  <c r="D375" i="1"/>
  <c r="C375"/>
  <c r="B375"/>
  <c r="B106" i="4" s="1"/>
  <c r="Q374" i="1"/>
  <c r="P374"/>
  <c r="O374"/>
  <c r="N374"/>
  <c r="N105" i="4" s="1"/>
  <c r="M374" i="1"/>
  <c r="M105" i="4" s="1"/>
  <c r="L374" i="1"/>
  <c r="K374"/>
  <c r="K105" i="4" s="1"/>
  <c r="J374" i="1"/>
  <c r="I374"/>
  <c r="H374"/>
  <c r="G374"/>
  <c r="G105" i="4" s="1"/>
  <c r="F374" i="1"/>
  <c r="E374"/>
  <c r="E105" i="4" s="1"/>
  <c r="D374" i="1"/>
  <c r="C374"/>
  <c r="B374"/>
  <c r="B105" i="4" s="1"/>
  <c r="Q373" i="1"/>
  <c r="Q104" i="4" s="1"/>
  <c r="P373" i="1"/>
  <c r="P104" i="4" s="1"/>
  <c r="O373" i="1"/>
  <c r="O104" i="4" s="1"/>
  <c r="N373" i="1"/>
  <c r="N104" i="4" s="1"/>
  <c r="M373" i="1"/>
  <c r="M104" i="4" s="1"/>
  <c r="L373" i="1"/>
  <c r="L104" i="4" s="1"/>
  <c r="K373" i="1"/>
  <c r="K104" i="4" s="1"/>
  <c r="J373" i="1"/>
  <c r="J104" i="4" s="1"/>
  <c r="I373" i="1"/>
  <c r="I104" i="4" s="1"/>
  <c r="H373" i="1"/>
  <c r="H104" i="4" s="1"/>
  <c r="G373" i="1"/>
  <c r="G104" i="4" s="1"/>
  <c r="F373" i="1"/>
  <c r="F104" i="4" s="1"/>
  <c r="E373" i="1"/>
  <c r="E104" i="4" s="1"/>
  <c r="D373" i="1"/>
  <c r="C373"/>
  <c r="B373"/>
  <c r="B104" i="4" s="1"/>
  <c r="Q372" i="1"/>
  <c r="P372"/>
  <c r="O372"/>
  <c r="N372"/>
  <c r="N103" i="4" s="1"/>
  <c r="M372" i="1"/>
  <c r="M103" i="4" s="1"/>
  <c r="L372" i="1"/>
  <c r="K372"/>
  <c r="K103" i="4" s="1"/>
  <c r="J372" i="1"/>
  <c r="I372"/>
  <c r="H372"/>
  <c r="G372"/>
  <c r="G103" i="4" s="1"/>
  <c r="F372" i="1"/>
  <c r="E372"/>
  <c r="E103" i="4" s="1"/>
  <c r="D372" i="1"/>
  <c r="C372"/>
  <c r="B372"/>
  <c r="B103" i="4" s="1"/>
  <c r="Q371" i="1"/>
  <c r="Q102" i="4" s="1"/>
  <c r="P371" i="1"/>
  <c r="P102" i="4" s="1"/>
  <c r="O371" i="1"/>
  <c r="O102" i="4" s="1"/>
  <c r="N371" i="1"/>
  <c r="N102" i="4" s="1"/>
  <c r="M371" i="1"/>
  <c r="M102" i="4" s="1"/>
  <c r="L371" i="1"/>
  <c r="L102" i="4" s="1"/>
  <c r="K371" i="1"/>
  <c r="K102" i="4" s="1"/>
  <c r="J371" i="1"/>
  <c r="J102" i="4" s="1"/>
  <c r="I371" i="1"/>
  <c r="I102" i="4" s="1"/>
  <c r="H371" i="1"/>
  <c r="H102" i="4" s="1"/>
  <c r="G371" i="1"/>
  <c r="G102" i="4" s="1"/>
  <c r="F371" i="1"/>
  <c r="F102" i="4" s="1"/>
  <c r="E371" i="1"/>
  <c r="E102" i="4" s="1"/>
  <c r="D371" i="1"/>
  <c r="C371"/>
  <c r="B371"/>
  <c r="B102" i="4" s="1"/>
  <c r="N366" i="1"/>
  <c r="N97" i="4" s="1"/>
  <c r="M366" i="1"/>
  <c r="M97" i="4" s="1"/>
  <c r="L366" i="1"/>
  <c r="L97" i="4" s="1"/>
  <c r="K366" i="1"/>
  <c r="K97" i="4" s="1"/>
  <c r="J366" i="1"/>
  <c r="J97" i="4" s="1"/>
  <c r="I366" i="1"/>
  <c r="I97" i="4" s="1"/>
  <c r="H366" i="1"/>
  <c r="H97" i="4" s="1"/>
  <c r="G366" i="1"/>
  <c r="F366"/>
  <c r="F97" i="4" s="1"/>
  <c r="E366" i="1"/>
  <c r="E97" i="4" s="1"/>
  <c r="D366" i="1"/>
  <c r="D97" i="4" s="1"/>
  <c r="C366" i="1"/>
  <c r="C97" i="4" s="1"/>
  <c r="B366" i="1"/>
  <c r="B97" i="4" s="1"/>
  <c r="N365" i="1"/>
  <c r="N96" i="4" s="1"/>
  <c r="M365" i="1"/>
  <c r="M96" i="4" s="1"/>
  <c r="L365" i="1"/>
  <c r="L96" i="4" s="1"/>
  <c r="K365" i="1"/>
  <c r="K96" i="4" s="1"/>
  <c r="J365" i="1"/>
  <c r="J96" i="4" s="1"/>
  <c r="I365" i="1"/>
  <c r="I96" i="4" s="1"/>
  <c r="H365" i="1"/>
  <c r="H96" i="4" s="1"/>
  <c r="G365" i="1"/>
  <c r="F365"/>
  <c r="F96" i="4" s="1"/>
  <c r="E365" i="1"/>
  <c r="E96" i="4" s="1"/>
  <c r="D365" i="1"/>
  <c r="D96" i="4" s="1"/>
  <c r="C365" i="1"/>
  <c r="C96" i="4" s="1"/>
  <c r="B365" i="1"/>
  <c r="B96" i="4" s="1"/>
  <c r="N364" i="1"/>
  <c r="N95" i="4" s="1"/>
  <c r="M364" i="1"/>
  <c r="L364"/>
  <c r="K364"/>
  <c r="J364"/>
  <c r="I364"/>
  <c r="H364"/>
  <c r="G364"/>
  <c r="F364"/>
  <c r="F95" i="4" s="1"/>
  <c r="E364" i="1"/>
  <c r="E95" i="4" s="1"/>
  <c r="D364" i="1"/>
  <c r="D95" i="4" s="1"/>
  <c r="C364" i="1"/>
  <c r="C95" i="4" s="1"/>
  <c r="B364" i="1"/>
  <c r="B95" i="4" s="1"/>
  <c r="N363" i="1"/>
  <c r="N94" i="4" s="1"/>
  <c r="M363" i="1"/>
  <c r="M94" i="4" s="1"/>
  <c r="L363" i="1"/>
  <c r="L94" i="4" s="1"/>
  <c r="K363" i="1"/>
  <c r="K94" i="4" s="1"/>
  <c r="J363" i="1"/>
  <c r="J94" i="4" s="1"/>
  <c r="I363" i="1"/>
  <c r="I94" i="4" s="1"/>
  <c r="H363" i="1"/>
  <c r="H94" i="4" s="1"/>
  <c r="G363" i="1"/>
  <c r="F363"/>
  <c r="F94" i="4" s="1"/>
  <c r="E363" i="1"/>
  <c r="E94" i="4" s="1"/>
  <c r="D363" i="1"/>
  <c r="D94" i="4" s="1"/>
  <c r="C363" i="1"/>
  <c r="C94" i="4" s="1"/>
  <c r="B363" i="1"/>
  <c r="B94" i="4" s="1"/>
  <c r="N362" i="1"/>
  <c r="N93" i="4" s="1"/>
  <c r="M362" i="1"/>
  <c r="L362"/>
  <c r="K362"/>
  <c r="J362"/>
  <c r="I362"/>
  <c r="H362"/>
  <c r="G362"/>
  <c r="F362"/>
  <c r="F93" i="4" s="1"/>
  <c r="E362" i="1"/>
  <c r="E93" i="4" s="1"/>
  <c r="D362" i="1"/>
  <c r="D93" i="4" s="1"/>
  <c r="C362" i="1"/>
  <c r="C93" i="4" s="1"/>
  <c r="B362" i="1"/>
  <c r="B93" i="4" s="1"/>
  <c r="N361" i="1"/>
  <c r="N92" i="4" s="1"/>
  <c r="M361" i="1"/>
  <c r="M92" i="4" s="1"/>
  <c r="L361" i="1"/>
  <c r="L92" i="4" s="1"/>
  <c r="K361" i="1"/>
  <c r="K92" i="4" s="1"/>
  <c r="J361" i="1"/>
  <c r="J92" i="4" s="1"/>
  <c r="I361" i="1"/>
  <c r="I92" i="4" s="1"/>
  <c r="H361" i="1"/>
  <c r="H92" i="4" s="1"/>
  <c r="G361" i="1"/>
  <c r="F361"/>
  <c r="F92" i="4" s="1"/>
  <c r="E361" i="1"/>
  <c r="E92" i="4" s="1"/>
  <c r="D361" i="1"/>
  <c r="D92" i="4" s="1"/>
  <c r="C361" i="1"/>
  <c r="C92" i="4" s="1"/>
  <c r="B361" i="1"/>
  <c r="B92" i="4" s="1"/>
  <c r="N355" i="1"/>
  <c r="N86" i="4" s="1"/>
  <c r="M355" i="1"/>
  <c r="M86" i="4" s="1"/>
  <c r="L355" i="1"/>
  <c r="L86" i="4" s="1"/>
  <c r="K355" i="1"/>
  <c r="K86" i="4" s="1"/>
  <c r="J355" i="1"/>
  <c r="J86" i="4" s="1"/>
  <c r="I355" i="1"/>
  <c r="I86" i="4" s="1"/>
  <c r="H355" i="1"/>
  <c r="H86" i="4" s="1"/>
  <c r="G355" i="1"/>
  <c r="G86" i="4" s="1"/>
  <c r="F355" i="1"/>
  <c r="F86" i="4" s="1"/>
  <c r="E355" i="1"/>
  <c r="E86" i="4" s="1"/>
  <c r="D355" i="1"/>
  <c r="D86" i="4" s="1"/>
  <c r="C355" i="1"/>
  <c r="C86" i="4" s="1"/>
  <c r="B355" i="1"/>
  <c r="B86" i="4" s="1"/>
  <c r="N354" i="1"/>
  <c r="N85" i="4" s="1"/>
  <c r="M354" i="1"/>
  <c r="M85" i="4" s="1"/>
  <c r="L354" i="1"/>
  <c r="L85" i="4" s="1"/>
  <c r="K354" i="1"/>
  <c r="K85" i="4" s="1"/>
  <c r="J354" i="1"/>
  <c r="J85" i="4" s="1"/>
  <c r="I354" i="1"/>
  <c r="I85" i="4" s="1"/>
  <c r="H354" i="1"/>
  <c r="H85" i="4" s="1"/>
  <c r="G354" i="1"/>
  <c r="G85" i="4" s="1"/>
  <c r="F354" i="1"/>
  <c r="F85" i="4" s="1"/>
  <c r="E354" i="1"/>
  <c r="E85" i="4" s="1"/>
  <c r="D354" i="1"/>
  <c r="D85" i="4" s="1"/>
  <c r="C354" i="1"/>
  <c r="C85" i="4" s="1"/>
  <c r="B354" i="1"/>
  <c r="B85" i="4" s="1"/>
  <c r="N353" i="1"/>
  <c r="N84" i="4" s="1"/>
  <c r="M353" i="1"/>
  <c r="L353"/>
  <c r="K353"/>
  <c r="K84" i="4" s="1"/>
  <c r="J353" i="1"/>
  <c r="J84" i="4" s="1"/>
  <c r="I353" i="1"/>
  <c r="I84" i="4" s="1"/>
  <c r="H353" i="1"/>
  <c r="H84" i="4" s="1"/>
  <c r="G353" i="1"/>
  <c r="G84" i="4" s="1"/>
  <c r="F353" i="1"/>
  <c r="F84" i="4" s="1"/>
  <c r="E353" i="1"/>
  <c r="E84" i="4" s="1"/>
  <c r="D353" i="1"/>
  <c r="C353"/>
  <c r="C84" i="4" s="1"/>
  <c r="B353" i="1"/>
  <c r="B84" i="4" s="1"/>
  <c r="N352" i="1"/>
  <c r="N83" i="4" s="1"/>
  <c r="M352" i="1"/>
  <c r="M83" i="4" s="1"/>
  <c r="L352" i="1"/>
  <c r="L83" i="4" s="1"/>
  <c r="K352" i="1"/>
  <c r="K83" i="4" s="1"/>
  <c r="J352" i="1"/>
  <c r="J83" i="4" s="1"/>
  <c r="I352" i="1"/>
  <c r="I83" i="4" s="1"/>
  <c r="H352" i="1"/>
  <c r="H83" i="4" s="1"/>
  <c r="G352" i="1"/>
  <c r="G83" i="4" s="1"/>
  <c r="F352" i="1"/>
  <c r="F83" i="4" s="1"/>
  <c r="E352" i="1"/>
  <c r="E83" i="4" s="1"/>
  <c r="D352" i="1"/>
  <c r="D83" i="4" s="1"/>
  <c r="C352" i="1"/>
  <c r="C83" i="4" s="1"/>
  <c r="B352" i="1"/>
  <c r="B83" i="4" s="1"/>
  <c r="N351" i="1"/>
  <c r="N82" i="4" s="1"/>
  <c r="M351" i="1"/>
  <c r="L351"/>
  <c r="K351"/>
  <c r="K82" i="4" s="1"/>
  <c r="J351" i="1"/>
  <c r="J82" i="4" s="1"/>
  <c r="I351" i="1"/>
  <c r="I82" i="4" s="1"/>
  <c r="H351" i="1"/>
  <c r="H82" i="4" s="1"/>
  <c r="G351" i="1"/>
  <c r="G82" i="4" s="1"/>
  <c r="F351" i="1"/>
  <c r="F82" i="4" s="1"/>
  <c r="E351" i="1"/>
  <c r="E82" i="4" s="1"/>
  <c r="D351" i="1"/>
  <c r="C351"/>
  <c r="C82" i="4" s="1"/>
  <c r="B351" i="1"/>
  <c r="B82" i="4" s="1"/>
  <c r="N350" i="1"/>
  <c r="N81" i="4" s="1"/>
  <c r="M350" i="1"/>
  <c r="M81" i="4" s="1"/>
  <c r="L350" i="1"/>
  <c r="L81" i="4" s="1"/>
  <c r="K350" i="1"/>
  <c r="K81" i="4" s="1"/>
  <c r="J350" i="1"/>
  <c r="J81" i="4" s="1"/>
  <c r="I350" i="1"/>
  <c r="I81" i="4" s="1"/>
  <c r="H350" i="1"/>
  <c r="H81" i="4" s="1"/>
  <c r="G350" i="1"/>
  <c r="G81" i="4" s="1"/>
  <c r="F350" i="1"/>
  <c r="F81" i="4" s="1"/>
  <c r="E350" i="1"/>
  <c r="E81" i="4" s="1"/>
  <c r="D350" i="1"/>
  <c r="D81" i="4" s="1"/>
  <c r="C350" i="1"/>
  <c r="C81" i="4" s="1"/>
  <c r="B350" i="1"/>
  <c r="B81" i="4" s="1"/>
  <c r="N344" i="1"/>
  <c r="N75" i="4" s="1"/>
  <c r="M344" i="1"/>
  <c r="M75" i="4" s="1"/>
  <c r="L344" i="1"/>
  <c r="L75" i="4" s="1"/>
  <c r="K344" i="1"/>
  <c r="K75" i="4" s="1"/>
  <c r="J344" i="1"/>
  <c r="J75" i="4" s="1"/>
  <c r="I344" i="1"/>
  <c r="I75" i="4" s="1"/>
  <c r="H344" i="1"/>
  <c r="H75" i="4" s="1"/>
  <c r="G344" i="1"/>
  <c r="G75" i="4" s="1"/>
  <c r="F344" i="1"/>
  <c r="F75" i="4" s="1"/>
  <c r="E344" i="1"/>
  <c r="E75" i="4" s="1"/>
  <c r="D344" i="1"/>
  <c r="D75" i="4" s="1"/>
  <c r="C344" i="1"/>
  <c r="C75" i="4" s="1"/>
  <c r="B344" i="1"/>
  <c r="B75" i="4" s="1"/>
  <c r="N343" i="1"/>
  <c r="N74" i="4" s="1"/>
  <c r="M343" i="1"/>
  <c r="M74" i="4" s="1"/>
  <c r="L343" i="1"/>
  <c r="L74" i="4" s="1"/>
  <c r="K343" i="1"/>
  <c r="J343"/>
  <c r="J74" i="4" s="1"/>
  <c r="I343" i="1"/>
  <c r="I74" i="4" s="1"/>
  <c r="H343" i="1"/>
  <c r="G343"/>
  <c r="F343"/>
  <c r="F74" i="4" s="1"/>
  <c r="E343" i="1"/>
  <c r="E74" i="4" s="1"/>
  <c r="D343" i="1"/>
  <c r="D74" i="4" s="1"/>
  <c r="C343" i="1"/>
  <c r="C74" i="4" s="1"/>
  <c r="B343" i="1"/>
  <c r="B74" i="4" s="1"/>
  <c r="N342" i="1"/>
  <c r="N73" i="4" s="1"/>
  <c r="M342" i="1"/>
  <c r="M73" i="4" s="1"/>
  <c r="L342" i="1"/>
  <c r="K342"/>
  <c r="J342"/>
  <c r="I342"/>
  <c r="H342"/>
  <c r="G342"/>
  <c r="F342"/>
  <c r="F73" i="4" s="1"/>
  <c r="E342" i="1"/>
  <c r="E73" i="4" s="1"/>
  <c r="D342" i="1"/>
  <c r="D73" i="4" s="1"/>
  <c r="C342" i="1"/>
  <c r="C73" i="4" s="1"/>
  <c r="B342" i="1"/>
  <c r="B73" i="4" s="1"/>
  <c r="N341" i="1"/>
  <c r="N72" i="4" s="1"/>
  <c r="M341" i="1"/>
  <c r="M72" i="4" s="1"/>
  <c r="L341" i="1"/>
  <c r="L72" i="4" s="1"/>
  <c r="K341" i="1"/>
  <c r="J341"/>
  <c r="J72" i="4" s="1"/>
  <c r="I341" i="1"/>
  <c r="I72" i="4" s="1"/>
  <c r="H341" i="1"/>
  <c r="G341"/>
  <c r="F341"/>
  <c r="F72" i="4" s="1"/>
  <c r="E341" i="1"/>
  <c r="E72" i="4" s="1"/>
  <c r="D341" i="1"/>
  <c r="D72" i="4" s="1"/>
  <c r="C341" i="1"/>
  <c r="C72" i="4" s="1"/>
  <c r="B341" i="1"/>
  <c r="B72" i="4" s="1"/>
  <c r="N340" i="1"/>
  <c r="N71" i="4" s="1"/>
  <c r="M340" i="1"/>
  <c r="M71" i="4" s="1"/>
  <c r="L340" i="1"/>
  <c r="K340"/>
  <c r="J340"/>
  <c r="I340"/>
  <c r="H340"/>
  <c r="G340"/>
  <c r="F340"/>
  <c r="F71" i="4" s="1"/>
  <c r="E340" i="1"/>
  <c r="E71" i="4" s="1"/>
  <c r="D340" i="1"/>
  <c r="D71" i="4" s="1"/>
  <c r="C340" i="1"/>
  <c r="C71" i="4" s="1"/>
  <c r="B340" i="1"/>
  <c r="B71" i="4" s="1"/>
  <c r="N339" i="1"/>
  <c r="N70" i="4" s="1"/>
  <c r="M339" i="1"/>
  <c r="M70" i="4" s="1"/>
  <c r="L339" i="1"/>
  <c r="L70" i="4" s="1"/>
  <c r="K339" i="1"/>
  <c r="J339"/>
  <c r="J70" i="4" s="1"/>
  <c r="I339" i="1"/>
  <c r="I70" i="4" s="1"/>
  <c r="H339" i="1"/>
  <c r="G339"/>
  <c r="F339"/>
  <c r="F70" i="4" s="1"/>
  <c r="E339" i="1"/>
  <c r="E70" i="4" s="1"/>
  <c r="D339" i="1"/>
  <c r="D70" i="4" s="1"/>
  <c r="C339" i="1"/>
  <c r="C70" i="4" s="1"/>
  <c r="B339" i="1"/>
  <c r="B70" i="4" s="1"/>
  <c r="N332" i="1"/>
  <c r="N63" i="4" s="1"/>
  <c r="M332" i="1"/>
  <c r="M63" i="4" s="1"/>
  <c r="L332" i="1"/>
  <c r="L63" i="4" s="1"/>
  <c r="K332" i="1"/>
  <c r="K63" i="4" s="1"/>
  <c r="J332" i="1"/>
  <c r="J63" i="4" s="1"/>
  <c r="I332" i="1"/>
  <c r="I63" i="4" s="1"/>
  <c r="H332" i="1"/>
  <c r="H63" i="4" s="1"/>
  <c r="G332" i="1"/>
  <c r="G63" i="4" s="1"/>
  <c r="F332" i="1"/>
  <c r="F63" i="4" s="1"/>
  <c r="E332" i="1"/>
  <c r="E63" i="4" s="1"/>
  <c r="D332" i="1"/>
  <c r="D63" i="4" s="1"/>
  <c r="C332" i="1"/>
  <c r="C63" i="4" s="1"/>
  <c r="B332" i="1"/>
  <c r="B63" i="4" s="1"/>
  <c r="N331" i="1"/>
  <c r="N62" i="4" s="1"/>
  <c r="M331" i="1"/>
  <c r="M62" i="4" s="1"/>
  <c r="L331" i="1"/>
  <c r="L62" i="4" s="1"/>
  <c r="K331" i="1"/>
  <c r="K62" i="4" s="1"/>
  <c r="J331" i="1"/>
  <c r="J62" i="4" s="1"/>
  <c r="I331" i="1"/>
  <c r="I62" i="4" s="1"/>
  <c r="H331" i="1"/>
  <c r="G331"/>
  <c r="G62" i="4" s="1"/>
  <c r="F331" i="1"/>
  <c r="F62" i="4" s="1"/>
  <c r="E331" i="1"/>
  <c r="E62" i="4" s="1"/>
  <c r="D331" i="1"/>
  <c r="D62" i="4" s="1"/>
  <c r="C331" i="1"/>
  <c r="C62" i="4" s="1"/>
  <c r="B331" i="1"/>
  <c r="B62" i="4" s="1"/>
  <c r="N330" i="1"/>
  <c r="N61" i="4" s="1"/>
  <c r="M330" i="1"/>
  <c r="M61" i="4" s="1"/>
  <c r="L330" i="1"/>
  <c r="L61" i="4" s="1"/>
  <c r="K330" i="1"/>
  <c r="K61" i="4" s="1"/>
  <c r="J330" i="1"/>
  <c r="J61" i="4" s="1"/>
  <c r="I330" i="1"/>
  <c r="I61" i="4" s="1"/>
  <c r="H330" i="1"/>
  <c r="G330"/>
  <c r="G61" i="4" s="1"/>
  <c r="F330" i="1"/>
  <c r="F61" i="4" s="1"/>
  <c r="E330" i="1"/>
  <c r="E61" i="4" s="1"/>
  <c r="D330" i="1"/>
  <c r="C330"/>
  <c r="C61" i="4" s="1"/>
  <c r="B330" i="1"/>
  <c r="B61" i="4" s="1"/>
  <c r="N329" i="1"/>
  <c r="N60" i="4" s="1"/>
  <c r="M329" i="1"/>
  <c r="M60" i="4" s="1"/>
  <c r="L329" i="1"/>
  <c r="L60" i="4" s="1"/>
  <c r="K329" i="1"/>
  <c r="K60" i="4" s="1"/>
  <c r="J329" i="1"/>
  <c r="J60" i="4" s="1"/>
  <c r="I329" i="1"/>
  <c r="I60" i="4" s="1"/>
  <c r="H329" i="1"/>
  <c r="G329"/>
  <c r="G60" i="4" s="1"/>
  <c r="F329" i="1"/>
  <c r="F60" i="4" s="1"/>
  <c r="E329" i="1"/>
  <c r="E60" i="4" s="1"/>
  <c r="D329" i="1"/>
  <c r="D60" i="4" s="1"/>
  <c r="C329" i="1"/>
  <c r="C60" i="4" s="1"/>
  <c r="B329" i="1"/>
  <c r="B60" i="4" s="1"/>
  <c r="N328" i="1"/>
  <c r="N59" i="4" s="1"/>
  <c r="M328" i="1"/>
  <c r="M59" i="4" s="1"/>
  <c r="L328" i="1"/>
  <c r="L59" i="4" s="1"/>
  <c r="K328" i="1"/>
  <c r="K59" i="4" s="1"/>
  <c r="J328" i="1"/>
  <c r="J59" i="4" s="1"/>
  <c r="I328" i="1"/>
  <c r="I59" i="4" s="1"/>
  <c r="H328" i="1"/>
  <c r="G328"/>
  <c r="G59" i="4" s="1"/>
  <c r="F328" i="1"/>
  <c r="F59" i="4" s="1"/>
  <c r="E328" i="1"/>
  <c r="E59" i="4" s="1"/>
  <c r="D328" i="1"/>
  <c r="C328"/>
  <c r="C59" i="4" s="1"/>
  <c r="B328" i="1"/>
  <c r="B59" i="4" s="1"/>
  <c r="N327" i="1"/>
  <c r="N58" i="4" s="1"/>
  <c r="M327" i="1"/>
  <c r="M58" i="4" s="1"/>
  <c r="L327" i="1"/>
  <c r="L58" i="4" s="1"/>
  <c r="K327" i="1"/>
  <c r="K58" i="4" s="1"/>
  <c r="J327" i="1"/>
  <c r="J58" i="4" s="1"/>
  <c r="I327" i="1"/>
  <c r="I58" i="4" s="1"/>
  <c r="H327" i="1"/>
  <c r="G327"/>
  <c r="G58" i="4" s="1"/>
  <c r="F327" i="1"/>
  <c r="F58" i="4" s="1"/>
  <c r="E327" i="1"/>
  <c r="E58" i="4" s="1"/>
  <c r="D327" i="1"/>
  <c r="D58" i="4" s="1"/>
  <c r="C327" i="1"/>
  <c r="C58" i="4" s="1"/>
  <c r="B327" i="1"/>
  <c r="B58" i="4" s="1"/>
  <c r="Q318" i="1"/>
  <c r="Q49" i="4" s="1"/>
  <c r="P318" i="1"/>
  <c r="P49" i="4" s="1"/>
  <c r="O318" i="1"/>
  <c r="O49" i="4" s="1"/>
  <c r="N318" i="1"/>
  <c r="N49" i="4" s="1"/>
  <c r="M318" i="1"/>
  <c r="M49" i="4" s="1"/>
  <c r="L318" i="1"/>
  <c r="L49" i="4" s="1"/>
  <c r="K318" i="1"/>
  <c r="K49" i="4" s="1"/>
  <c r="J318" i="1"/>
  <c r="J49" i="4" s="1"/>
  <c r="I318" i="1"/>
  <c r="I49" i="4" s="1"/>
  <c r="H318" i="1"/>
  <c r="H49" i="4" s="1"/>
  <c r="G318" i="1"/>
  <c r="G49" i="4" s="1"/>
  <c r="F318" i="1"/>
  <c r="F49" i="4" s="1"/>
  <c r="E318" i="1"/>
  <c r="E49" i="4" s="1"/>
  <c r="D318" i="1"/>
  <c r="D49" i="4" s="1"/>
  <c r="C318" i="1"/>
  <c r="C49" i="4" s="1"/>
  <c r="B318" i="1"/>
  <c r="B49" i="4" s="1"/>
  <c r="Q317" i="1"/>
  <c r="Q48" i="4" s="1"/>
  <c r="P317" i="1"/>
  <c r="P48" i="4" s="1"/>
  <c r="O317" i="1"/>
  <c r="O48" i="4" s="1"/>
  <c r="N317" i="1"/>
  <c r="N48" i="4" s="1"/>
  <c r="M317" i="1"/>
  <c r="M48" i="4" s="1"/>
  <c r="L317" i="1"/>
  <c r="L48" i="4" s="1"/>
  <c r="K317" i="1"/>
  <c r="K48" i="4" s="1"/>
  <c r="J317" i="1"/>
  <c r="J48" i="4" s="1"/>
  <c r="I317" i="1"/>
  <c r="I48" i="4" s="1"/>
  <c r="H317" i="1"/>
  <c r="H48" i="4" s="1"/>
  <c r="G317" i="1"/>
  <c r="G48" i="4" s="1"/>
  <c r="F317" i="1"/>
  <c r="F48" i="4" s="1"/>
  <c r="E317" i="1"/>
  <c r="E48" i="4" s="1"/>
  <c r="D317" i="1"/>
  <c r="D48" i="4" s="1"/>
  <c r="C317" i="1"/>
  <c r="C48" i="4" s="1"/>
  <c r="B317" i="1"/>
  <c r="B48" i="4" s="1"/>
  <c r="Q316" i="1"/>
  <c r="Q47" i="4" s="1"/>
  <c r="P316" i="1"/>
  <c r="P47" i="4" s="1"/>
  <c r="O316" i="1"/>
  <c r="O47" i="4" s="1"/>
  <c r="N316" i="1"/>
  <c r="N47" i="4" s="1"/>
  <c r="M316" i="1"/>
  <c r="M47" i="4" s="1"/>
  <c r="L316" i="1"/>
  <c r="L47" i="4" s="1"/>
  <c r="K316" i="1"/>
  <c r="K47" i="4" s="1"/>
  <c r="J316" i="1"/>
  <c r="J47" i="4" s="1"/>
  <c r="I316" i="1"/>
  <c r="I47" i="4" s="1"/>
  <c r="H316" i="1"/>
  <c r="H47" i="4" s="1"/>
  <c r="G316" i="1"/>
  <c r="G47" i="4" s="1"/>
  <c r="F316" i="1"/>
  <c r="F47" i="4" s="1"/>
  <c r="E316" i="1"/>
  <c r="E47" i="4" s="1"/>
  <c r="D316" i="1"/>
  <c r="D47" i="4" s="1"/>
  <c r="C316" i="1"/>
  <c r="C47" i="4" s="1"/>
  <c r="B316" i="1"/>
  <c r="B47" i="4" s="1"/>
  <c r="N311" i="1"/>
  <c r="N42" i="4" s="1"/>
  <c r="M311" i="1"/>
  <c r="M42" i="4" s="1"/>
  <c r="L311" i="1"/>
  <c r="L42" i="4" s="1"/>
  <c r="K311" i="1"/>
  <c r="K42" i="4" s="1"/>
  <c r="J311" i="1"/>
  <c r="J42" i="4" s="1"/>
  <c r="I311" i="1"/>
  <c r="I42" i="4" s="1"/>
  <c r="H311" i="1"/>
  <c r="H42" i="4" s="1"/>
  <c r="G311" i="1"/>
  <c r="G42" i="4" s="1"/>
  <c r="F311" i="1"/>
  <c r="F42" i="4" s="1"/>
  <c r="E311" i="1"/>
  <c r="E42" i="4" s="1"/>
  <c r="D311" i="1"/>
  <c r="D42" i="4" s="1"/>
  <c r="C311" i="1"/>
  <c r="C42" i="4" s="1"/>
  <c r="B311" i="1"/>
  <c r="B42" i="4" s="1"/>
  <c r="N310" i="1"/>
  <c r="N41" i="4" s="1"/>
  <c r="M310" i="1"/>
  <c r="M41" i="4" s="1"/>
  <c r="L310" i="1"/>
  <c r="L41" i="4" s="1"/>
  <c r="K310" i="1"/>
  <c r="K41" i="4" s="1"/>
  <c r="J310" i="1"/>
  <c r="J41" i="4" s="1"/>
  <c r="I310" i="1"/>
  <c r="I41" i="4" s="1"/>
  <c r="H310" i="1"/>
  <c r="H41" i="4" s="1"/>
  <c r="G310" i="1"/>
  <c r="G41" i="4" s="1"/>
  <c r="F310" i="1"/>
  <c r="F41" i="4" s="1"/>
  <c r="E310" i="1"/>
  <c r="E41" i="4" s="1"/>
  <c r="D310" i="1"/>
  <c r="D41" i="4" s="1"/>
  <c r="C310" i="1"/>
  <c r="C41" i="4" s="1"/>
  <c r="B310" i="1"/>
  <c r="B41" i="4" s="1"/>
  <c r="N309" i="1"/>
  <c r="N40" i="4" s="1"/>
  <c r="M309" i="1"/>
  <c r="M40" i="4" s="1"/>
  <c r="L309" i="1"/>
  <c r="L40" i="4" s="1"/>
  <c r="K309" i="1"/>
  <c r="K40" i="4" s="1"/>
  <c r="J309" i="1"/>
  <c r="J40" i="4" s="1"/>
  <c r="I309" i="1"/>
  <c r="I40" i="4" s="1"/>
  <c r="H309" i="1"/>
  <c r="H40" i="4" s="1"/>
  <c r="G309" i="1"/>
  <c r="G40" i="4" s="1"/>
  <c r="F309" i="1"/>
  <c r="F40" i="4" s="1"/>
  <c r="E309" i="1"/>
  <c r="E40" i="4" s="1"/>
  <c r="D309" i="1"/>
  <c r="D40" i="4" s="1"/>
  <c r="C309" i="1"/>
  <c r="C40" i="4" s="1"/>
  <c r="B309" i="1"/>
  <c r="B40" i="4" s="1"/>
  <c r="N303" i="1"/>
  <c r="N34" i="4" s="1"/>
  <c r="M303" i="1"/>
  <c r="M34" i="4" s="1"/>
  <c r="L303" i="1"/>
  <c r="L34" i="4" s="1"/>
  <c r="K303" i="1"/>
  <c r="K34" i="4" s="1"/>
  <c r="J303" i="1"/>
  <c r="J34" i="4" s="1"/>
  <c r="I303" i="1"/>
  <c r="I34" i="4" s="1"/>
  <c r="H303" i="1"/>
  <c r="H34" i="4" s="1"/>
  <c r="G303" i="1"/>
  <c r="G34" i="4" s="1"/>
  <c r="F303" i="1"/>
  <c r="F34" i="4" s="1"/>
  <c r="E303" i="1"/>
  <c r="E34" i="4" s="1"/>
  <c r="D303" i="1"/>
  <c r="D34" i="4" s="1"/>
  <c r="C303" i="1"/>
  <c r="C34" i="4" s="1"/>
  <c r="B303" i="1"/>
  <c r="B34" i="4" s="1"/>
  <c r="N302" i="1"/>
  <c r="N33" i="4" s="1"/>
  <c r="M302" i="1"/>
  <c r="M33" i="4" s="1"/>
  <c r="L302" i="1"/>
  <c r="L33" i="4" s="1"/>
  <c r="K302" i="1"/>
  <c r="K33" i="4" s="1"/>
  <c r="J302" i="1"/>
  <c r="J33" i="4" s="1"/>
  <c r="I302" i="1"/>
  <c r="I33" i="4" s="1"/>
  <c r="H302" i="1"/>
  <c r="H33" i="4" s="1"/>
  <c r="G302" i="1"/>
  <c r="G33" i="4" s="1"/>
  <c r="F302" i="1"/>
  <c r="F33" i="4" s="1"/>
  <c r="E302" i="1"/>
  <c r="E33" i="4" s="1"/>
  <c r="D302" i="1"/>
  <c r="D33" i="4" s="1"/>
  <c r="C302" i="1"/>
  <c r="C33" i="4" s="1"/>
  <c r="B302" i="1"/>
  <c r="N301"/>
  <c r="N32" i="4" s="1"/>
  <c r="M301" i="1"/>
  <c r="M32" i="4" s="1"/>
  <c r="L301" i="1"/>
  <c r="L32" i="4" s="1"/>
  <c r="K301" i="1"/>
  <c r="K32" i="4" s="1"/>
  <c r="J301" i="1"/>
  <c r="J32" i="4" s="1"/>
  <c r="I301" i="1"/>
  <c r="I32" i="4" s="1"/>
  <c r="H301" i="1"/>
  <c r="H32" i="4" s="1"/>
  <c r="G301" i="1"/>
  <c r="G32" i="4" s="1"/>
  <c r="F301" i="1"/>
  <c r="F32" i="4" s="1"/>
  <c r="E301" i="1"/>
  <c r="E32" i="4" s="1"/>
  <c r="D301" i="1"/>
  <c r="D32" i="4" s="1"/>
  <c r="C301" i="1"/>
  <c r="C32" i="4" s="1"/>
  <c r="B301" i="1"/>
  <c r="B32" i="4" s="1"/>
  <c r="N295" i="1"/>
  <c r="N26" i="4" s="1"/>
  <c r="M295" i="1"/>
  <c r="M26" i="4" s="1"/>
  <c r="L295" i="1"/>
  <c r="L26" i="4" s="1"/>
  <c r="K295" i="1"/>
  <c r="K26" i="4" s="1"/>
  <c r="J295" i="1"/>
  <c r="J26" i="4" s="1"/>
  <c r="I295" i="1"/>
  <c r="I26" i="4" s="1"/>
  <c r="H295" i="1"/>
  <c r="H26" i="4" s="1"/>
  <c r="G295" i="1"/>
  <c r="F295"/>
  <c r="F26" i="4" s="1"/>
  <c r="E295" i="1"/>
  <c r="E26" i="4" s="1"/>
  <c r="D295" i="1"/>
  <c r="D26" i="4" s="1"/>
  <c r="C295" i="1"/>
  <c r="C26" i="4" s="1"/>
  <c r="B295" i="1"/>
  <c r="B26" i="4" s="1"/>
  <c r="N294" i="1"/>
  <c r="N25" i="4" s="1"/>
  <c r="M294" i="1"/>
  <c r="M25" i="4" s="1"/>
  <c r="L294" i="1"/>
  <c r="L25" i="4" s="1"/>
  <c r="K294" i="1"/>
  <c r="K25" i="4" s="1"/>
  <c r="J294" i="1"/>
  <c r="J25" i="4" s="1"/>
  <c r="I294" i="1"/>
  <c r="I25" i="4" s="1"/>
  <c r="H294" i="1"/>
  <c r="H25" i="4" s="1"/>
  <c r="G294" i="1"/>
  <c r="F294"/>
  <c r="F25" i="4" s="1"/>
  <c r="E294" i="1"/>
  <c r="E25" i="4" s="1"/>
  <c r="D294" i="1"/>
  <c r="D25" i="4" s="1"/>
  <c r="C294" i="1"/>
  <c r="C25" i="4" s="1"/>
  <c r="B294" i="1"/>
  <c r="B25" i="4" s="1"/>
  <c r="N293" i="1"/>
  <c r="N24" i="4" s="1"/>
  <c r="M293" i="1"/>
  <c r="M24" i="4" s="1"/>
  <c r="L293" i="1"/>
  <c r="L24" i="4" s="1"/>
  <c r="K293" i="1"/>
  <c r="K24" i="4" s="1"/>
  <c r="J293" i="1"/>
  <c r="J24" i="4" s="1"/>
  <c r="I293" i="1"/>
  <c r="I24" i="4" s="1"/>
  <c r="H293" i="1"/>
  <c r="H24" i="4" s="1"/>
  <c r="G293" i="1"/>
  <c r="F293"/>
  <c r="F24" i="4" s="1"/>
  <c r="E293" i="1"/>
  <c r="E24" i="4" s="1"/>
  <c r="D293" i="1"/>
  <c r="D24" i="4" s="1"/>
  <c r="C293" i="1"/>
  <c r="C24" i="4" s="1"/>
  <c r="B293" i="1"/>
  <c r="B24" i="4" s="1"/>
  <c r="N288" i="1"/>
  <c r="N19" i="4" s="1"/>
  <c r="M288" i="1"/>
  <c r="M19" i="4" s="1"/>
  <c r="L288" i="1"/>
  <c r="L19" i="4" s="1"/>
  <c r="K288" i="1"/>
  <c r="K19" i="4" s="1"/>
  <c r="J288" i="1"/>
  <c r="J19" i="4" s="1"/>
  <c r="I288" i="1"/>
  <c r="I19" i="4" s="1"/>
  <c r="H288" i="1"/>
  <c r="H19" i="4" s="1"/>
  <c r="G288" i="1"/>
  <c r="G19" i="4" s="1"/>
  <c r="F288" i="1"/>
  <c r="F19" i="4" s="1"/>
  <c r="E288" i="1"/>
  <c r="E19" i="4" s="1"/>
  <c r="D288" i="1"/>
  <c r="D19" i="4" s="1"/>
  <c r="C288" i="1"/>
  <c r="C19" i="4" s="1"/>
  <c r="B288" i="1"/>
  <c r="B19" i="4" s="1"/>
  <c r="N287" i="1"/>
  <c r="N18" i="4" s="1"/>
  <c r="M287" i="1"/>
  <c r="M18" i="4" s="1"/>
  <c r="L287" i="1"/>
  <c r="L18" i="4" s="1"/>
  <c r="K287" i="1"/>
  <c r="K18" i="4" s="1"/>
  <c r="J287" i="1"/>
  <c r="J18" i="4" s="1"/>
  <c r="I287" i="1"/>
  <c r="I18" i="4" s="1"/>
  <c r="H287" i="1"/>
  <c r="H18" i="4" s="1"/>
  <c r="G287" i="1"/>
  <c r="F287"/>
  <c r="F18" i="4" s="1"/>
  <c r="E287" i="1"/>
  <c r="E18" i="4" s="1"/>
  <c r="D287" i="1"/>
  <c r="D18" i="4" s="1"/>
  <c r="C287" i="1"/>
  <c r="C18" i="4" s="1"/>
  <c r="B287" i="1"/>
  <c r="B18" i="4" s="1"/>
  <c r="N286" i="1"/>
  <c r="N17" i="4" s="1"/>
  <c r="M286" i="1"/>
  <c r="M17" i="4" s="1"/>
  <c r="L286" i="1"/>
  <c r="L17" i="4" s="1"/>
  <c r="K286" i="1"/>
  <c r="K17" i="4" s="1"/>
  <c r="J286" i="1"/>
  <c r="J17" i="4" s="1"/>
  <c r="I286" i="1"/>
  <c r="I17" i="4" s="1"/>
  <c r="H286" i="1"/>
  <c r="H17" i="4" s="1"/>
  <c r="G286" i="1"/>
  <c r="G17" i="4" s="1"/>
  <c r="F286" i="1"/>
  <c r="F17" i="4" s="1"/>
  <c r="E286" i="1"/>
  <c r="E17" i="4" s="1"/>
  <c r="D286" i="1"/>
  <c r="D17" i="4" s="1"/>
  <c r="C286" i="1"/>
  <c r="C17" i="4" s="1"/>
  <c r="B286" i="1"/>
  <c r="B17" i="4" s="1"/>
  <c r="Q275" i="1"/>
  <c r="Q160" i="3" s="1"/>
  <c r="P275" i="1"/>
  <c r="P160" i="3" s="1"/>
  <c r="O275" i="1"/>
  <c r="O160" i="3" s="1"/>
  <c r="N275" i="1"/>
  <c r="N160" i="3" s="1"/>
  <c r="M275" i="1"/>
  <c r="M160" i="3" s="1"/>
  <c r="L275" i="1"/>
  <c r="L160" i="3" s="1"/>
  <c r="K275" i="1"/>
  <c r="K160" i="3" s="1"/>
  <c r="J275" i="1"/>
  <c r="J160" i="3" s="1"/>
  <c r="I275" i="1"/>
  <c r="I160" i="3" s="1"/>
  <c r="H275" i="1"/>
  <c r="H160" i="3" s="1"/>
  <c r="G275" i="1"/>
  <c r="G160" i="3" s="1"/>
  <c r="F275" i="1"/>
  <c r="F160" i="3" s="1"/>
  <c r="E275" i="1"/>
  <c r="E160" i="3" s="1"/>
  <c r="D275" i="1"/>
  <c r="D160" i="3" s="1"/>
  <c r="C275" i="1"/>
  <c r="C160" i="3" s="1"/>
  <c r="B275" i="1"/>
  <c r="B160" i="3" s="1"/>
  <c r="Q274" i="1"/>
  <c r="Q159" i="3" s="1"/>
  <c r="P274" i="1"/>
  <c r="P159" i="3" s="1"/>
  <c r="O274" i="1"/>
  <c r="O159" i="3" s="1"/>
  <c r="N274" i="1"/>
  <c r="N159" i="3" s="1"/>
  <c r="M274" i="1"/>
  <c r="M159" i="3" s="1"/>
  <c r="L274" i="1"/>
  <c r="L159" i="3" s="1"/>
  <c r="K274" i="1"/>
  <c r="K159" i="3" s="1"/>
  <c r="J274" i="1"/>
  <c r="J159" i="3" s="1"/>
  <c r="I274" i="1"/>
  <c r="I159" i="3" s="1"/>
  <c r="H274" i="1"/>
  <c r="H159" i="3" s="1"/>
  <c r="G274" i="1"/>
  <c r="G159" i="3" s="1"/>
  <c r="F274" i="1"/>
  <c r="F159" i="3" s="1"/>
  <c r="E274" i="1"/>
  <c r="E159" i="3" s="1"/>
  <c r="D274" i="1"/>
  <c r="D159" i="3" s="1"/>
  <c r="C274" i="1"/>
  <c r="C159" i="3" s="1"/>
  <c r="B274" i="1"/>
  <c r="B159" i="3" s="1"/>
  <c r="Q273" i="1"/>
  <c r="Q158" i="3" s="1"/>
  <c r="P273" i="1"/>
  <c r="P158" i="3" s="1"/>
  <c r="O273" i="1"/>
  <c r="O158" i="3" s="1"/>
  <c r="N273" i="1"/>
  <c r="N158" i="3" s="1"/>
  <c r="M273" i="1"/>
  <c r="M158" i="3" s="1"/>
  <c r="L273" i="1"/>
  <c r="L158" i="3" s="1"/>
  <c r="K273" i="1"/>
  <c r="K158" i="3" s="1"/>
  <c r="J273" i="1"/>
  <c r="I273"/>
  <c r="I158" i="3" s="1"/>
  <c r="H273" i="1"/>
  <c r="H158" i="3" s="1"/>
  <c r="G273" i="1"/>
  <c r="G158" i="3" s="1"/>
  <c r="F273" i="1"/>
  <c r="F158" i="3" s="1"/>
  <c r="E273" i="1"/>
  <c r="E158" i="3" s="1"/>
  <c r="D273" i="1"/>
  <c r="D158" i="3" s="1"/>
  <c r="C273" i="1"/>
  <c r="C158" i="3" s="1"/>
  <c r="B273" i="1"/>
  <c r="B158" i="3" s="1"/>
  <c r="Q272" i="1"/>
  <c r="Q157" i="3" s="1"/>
  <c r="P272" i="1"/>
  <c r="P157" i="3" s="1"/>
  <c r="O272" i="1"/>
  <c r="O157" i="3" s="1"/>
  <c r="N272" i="1"/>
  <c r="N157" i="3" s="1"/>
  <c r="M272" i="1"/>
  <c r="M157" i="3" s="1"/>
  <c r="L272" i="1"/>
  <c r="L157" i="3" s="1"/>
  <c r="K272" i="1"/>
  <c r="K157" i="3" s="1"/>
  <c r="J272" i="1"/>
  <c r="J157" i="3" s="1"/>
  <c r="I272" i="1"/>
  <c r="I157" i="3" s="1"/>
  <c r="H272" i="1"/>
  <c r="H157" i="3" s="1"/>
  <c r="G272" i="1"/>
  <c r="G157" i="3" s="1"/>
  <c r="F272" i="1"/>
  <c r="F157" i="3" s="1"/>
  <c r="E272" i="1"/>
  <c r="E157" i="3" s="1"/>
  <c r="D272" i="1"/>
  <c r="D157" i="3" s="1"/>
  <c r="C272" i="1"/>
  <c r="C157" i="3" s="1"/>
  <c r="B272" i="1"/>
  <c r="B157" i="3" s="1"/>
  <c r="Q271" i="1"/>
  <c r="Q156" i="3" s="1"/>
  <c r="P271" i="1"/>
  <c r="P156" i="3" s="1"/>
  <c r="O271" i="1"/>
  <c r="O156" i="3" s="1"/>
  <c r="N271" i="1"/>
  <c r="N156" i="3" s="1"/>
  <c r="M271" i="1"/>
  <c r="M156" i="3" s="1"/>
  <c r="L271" i="1"/>
  <c r="L156" i="3" s="1"/>
  <c r="K271" i="1"/>
  <c r="K156" i="3" s="1"/>
  <c r="J271" i="1"/>
  <c r="I271"/>
  <c r="I156" i="3" s="1"/>
  <c r="H271" i="1"/>
  <c r="H156" i="3" s="1"/>
  <c r="G271" i="1"/>
  <c r="G156" i="3" s="1"/>
  <c r="F271" i="1"/>
  <c r="F156" i="3" s="1"/>
  <c r="E271" i="1"/>
  <c r="E156" i="3" s="1"/>
  <c r="D271" i="1"/>
  <c r="D156" i="3" s="1"/>
  <c r="C271" i="1"/>
  <c r="C156" i="3" s="1"/>
  <c r="B271" i="1"/>
  <c r="B156" i="3" s="1"/>
  <c r="Q270" i="1"/>
  <c r="Q155" i="3" s="1"/>
  <c r="P270" i="1"/>
  <c r="P155" i="3" s="1"/>
  <c r="O270" i="1"/>
  <c r="O155" i="3" s="1"/>
  <c r="N270" i="1"/>
  <c r="N155" i="3" s="1"/>
  <c r="M270" i="1"/>
  <c r="M155" i="3" s="1"/>
  <c r="L270" i="1"/>
  <c r="L155" i="3" s="1"/>
  <c r="K270" i="1"/>
  <c r="K155" i="3" s="1"/>
  <c r="J270" i="1"/>
  <c r="I270"/>
  <c r="I155" i="3" s="1"/>
  <c r="H270" i="1"/>
  <c r="H155" i="3" s="1"/>
  <c r="G270" i="1"/>
  <c r="G155" i="3" s="1"/>
  <c r="F270" i="1"/>
  <c r="F155" i="3" s="1"/>
  <c r="E270" i="1"/>
  <c r="E155" i="3" s="1"/>
  <c r="D270" i="1"/>
  <c r="D155" i="3" s="1"/>
  <c r="C270" i="1"/>
  <c r="C155" i="3" s="1"/>
  <c r="B270" i="1"/>
  <c r="B155" i="3" s="1"/>
  <c r="Q269" i="1"/>
  <c r="Q154" i="3" s="1"/>
  <c r="P269" i="1"/>
  <c r="P154" i="3" s="1"/>
  <c r="O269" i="1"/>
  <c r="O154" i="3" s="1"/>
  <c r="N269" i="1"/>
  <c r="N154" i="3" s="1"/>
  <c r="M269" i="1"/>
  <c r="M154" i="3" s="1"/>
  <c r="L269" i="1"/>
  <c r="L154" i="3" s="1"/>
  <c r="K269" i="1"/>
  <c r="K154" i="3" s="1"/>
  <c r="J269" i="1"/>
  <c r="J154" i="3" s="1"/>
  <c r="I269" i="1"/>
  <c r="I154" i="3" s="1"/>
  <c r="H269" i="1"/>
  <c r="H154" i="3" s="1"/>
  <c r="G269" i="1"/>
  <c r="G154" i="3" s="1"/>
  <c r="F269" i="1"/>
  <c r="F154" i="3" s="1"/>
  <c r="E269" i="1"/>
  <c r="E154" i="3" s="1"/>
  <c r="D269" i="1"/>
  <c r="D154" i="3" s="1"/>
  <c r="C269" i="1"/>
  <c r="C154" i="3" s="1"/>
  <c r="B269" i="1"/>
  <c r="B154" i="3" s="1"/>
  <c r="Q268" i="1"/>
  <c r="Q153" i="3" s="1"/>
  <c r="P268" i="1"/>
  <c r="P153" i="3" s="1"/>
  <c r="O268" i="1"/>
  <c r="O153" i="3" s="1"/>
  <c r="N268" i="1"/>
  <c r="N153" i="3" s="1"/>
  <c r="M268" i="1"/>
  <c r="M153" i="3" s="1"/>
  <c r="L268" i="1"/>
  <c r="L153" i="3" s="1"/>
  <c r="K268" i="1"/>
  <c r="K153" i="3" s="1"/>
  <c r="J268" i="1"/>
  <c r="I268"/>
  <c r="I153" i="3" s="1"/>
  <c r="H268" i="1"/>
  <c r="H153" i="3" s="1"/>
  <c r="G268" i="1"/>
  <c r="G153" i="3" s="1"/>
  <c r="F268" i="1"/>
  <c r="F153" i="3" s="1"/>
  <c r="E268" i="1"/>
  <c r="E153" i="3" s="1"/>
  <c r="D268" i="1"/>
  <c r="D153" i="3" s="1"/>
  <c r="C268" i="1"/>
  <c r="C153" i="3" s="1"/>
  <c r="B268" i="1"/>
  <c r="B153" i="3" s="1"/>
  <c r="Q267" i="1"/>
  <c r="Q152" i="3" s="1"/>
  <c r="P267" i="1"/>
  <c r="P152" i="3" s="1"/>
  <c r="O267" i="1"/>
  <c r="O152" i="3" s="1"/>
  <c r="N267" i="1"/>
  <c r="N152" i="3" s="1"/>
  <c r="M267" i="1"/>
  <c r="M152" i="3" s="1"/>
  <c r="L267" i="1"/>
  <c r="L152" i="3" s="1"/>
  <c r="K267" i="1"/>
  <c r="K152" i="3" s="1"/>
  <c r="J267" i="1"/>
  <c r="J152" i="3" s="1"/>
  <c r="I267" i="1"/>
  <c r="I152" i="3" s="1"/>
  <c r="H267" i="1"/>
  <c r="H152" i="3" s="1"/>
  <c r="G267" i="1"/>
  <c r="G152" i="3" s="1"/>
  <c r="F267" i="1"/>
  <c r="F152" i="3" s="1"/>
  <c r="E267" i="1"/>
  <c r="E152" i="3" s="1"/>
  <c r="D267" i="1"/>
  <c r="D152" i="3" s="1"/>
  <c r="C267" i="1"/>
  <c r="C152" i="3" s="1"/>
  <c r="B267" i="1"/>
  <c r="B152" i="3" s="1"/>
  <c r="Q266" i="1"/>
  <c r="Q151" i="3" s="1"/>
  <c r="P266" i="1"/>
  <c r="P151" i="3" s="1"/>
  <c r="O266" i="1"/>
  <c r="O151" i="3" s="1"/>
  <c r="N266" i="1"/>
  <c r="N151" i="3" s="1"/>
  <c r="M266" i="1"/>
  <c r="M151" i="3" s="1"/>
  <c r="L266" i="1"/>
  <c r="L151" i="3" s="1"/>
  <c r="K266" i="1"/>
  <c r="K151" i="3" s="1"/>
  <c r="J266" i="1"/>
  <c r="I266"/>
  <c r="I151" i="3" s="1"/>
  <c r="H266" i="1"/>
  <c r="H151" i="3" s="1"/>
  <c r="G266" i="1"/>
  <c r="G151" i="3" s="1"/>
  <c r="F266" i="1"/>
  <c r="F151" i="3" s="1"/>
  <c r="E266" i="1"/>
  <c r="E151" i="3" s="1"/>
  <c r="D266" i="1"/>
  <c r="D151" i="3" s="1"/>
  <c r="C266" i="1"/>
  <c r="C151" i="3" s="1"/>
  <c r="B266" i="1"/>
  <c r="B151" i="3" s="1"/>
  <c r="Q265" i="1"/>
  <c r="Q150" i="3" s="1"/>
  <c r="P265" i="1"/>
  <c r="P150" i="3" s="1"/>
  <c r="O265" i="1"/>
  <c r="O150" i="3" s="1"/>
  <c r="N265" i="1"/>
  <c r="N150" i="3" s="1"/>
  <c r="M265" i="1"/>
  <c r="M150" i="3" s="1"/>
  <c r="L265" i="1"/>
  <c r="L150" i="3" s="1"/>
  <c r="K265" i="1"/>
  <c r="K150" i="3" s="1"/>
  <c r="J265" i="1"/>
  <c r="I265"/>
  <c r="I150" i="3" s="1"/>
  <c r="H265" i="1"/>
  <c r="H150" i="3" s="1"/>
  <c r="G265" i="1"/>
  <c r="G150" i="3" s="1"/>
  <c r="F265" i="1"/>
  <c r="F150" i="3" s="1"/>
  <c r="E265" i="1"/>
  <c r="E150" i="3" s="1"/>
  <c r="D265" i="1"/>
  <c r="D150" i="3" s="1"/>
  <c r="C265" i="1"/>
  <c r="C150" i="3" s="1"/>
  <c r="B265" i="1"/>
  <c r="B150" i="3" s="1"/>
  <c r="Q264" i="1"/>
  <c r="Q149" i="3" s="1"/>
  <c r="P264" i="1"/>
  <c r="P149" i="3" s="1"/>
  <c r="O264" i="1"/>
  <c r="O149" i="3" s="1"/>
  <c r="N264" i="1"/>
  <c r="N149" i="3" s="1"/>
  <c r="M264" i="1"/>
  <c r="M149" i="3" s="1"/>
  <c r="L264" i="1"/>
  <c r="L149" i="3" s="1"/>
  <c r="K264" i="1"/>
  <c r="K149" i="3" s="1"/>
  <c r="J264" i="1"/>
  <c r="I264"/>
  <c r="I149" i="3" s="1"/>
  <c r="H264" i="1"/>
  <c r="H149" i="3" s="1"/>
  <c r="G264" i="1"/>
  <c r="G149" i="3" s="1"/>
  <c r="F264" i="1"/>
  <c r="F149" i="3" s="1"/>
  <c r="E264" i="1"/>
  <c r="E149" i="3" s="1"/>
  <c r="D264" i="1"/>
  <c r="D149" i="3" s="1"/>
  <c r="C264" i="1"/>
  <c r="C149" i="3" s="1"/>
  <c r="B264" i="1"/>
  <c r="B149" i="3" s="1"/>
  <c r="Q263" i="1"/>
  <c r="Q148" i="3" s="1"/>
  <c r="P263" i="1"/>
  <c r="P148" i="3" s="1"/>
  <c r="O263" i="1"/>
  <c r="O148" i="3" s="1"/>
  <c r="N263" i="1"/>
  <c r="N148" i="3" s="1"/>
  <c r="M263" i="1"/>
  <c r="M148" i="3" s="1"/>
  <c r="L263" i="1"/>
  <c r="L148" i="3" s="1"/>
  <c r="K263" i="1"/>
  <c r="K148" i="3" s="1"/>
  <c r="J263" i="1"/>
  <c r="I263"/>
  <c r="I148" i="3" s="1"/>
  <c r="H263" i="1"/>
  <c r="H148" i="3" s="1"/>
  <c r="G263" i="1"/>
  <c r="G148" i="3" s="1"/>
  <c r="F263" i="1"/>
  <c r="F148" i="3" s="1"/>
  <c r="E263" i="1"/>
  <c r="E148" i="3" s="1"/>
  <c r="D263" i="1"/>
  <c r="D148" i="3" s="1"/>
  <c r="C263" i="1"/>
  <c r="C148" i="3" s="1"/>
  <c r="B263" i="1"/>
  <c r="B148" i="3" s="1"/>
  <c r="Q262" i="1"/>
  <c r="Q147" i="3" s="1"/>
  <c r="P262" i="1"/>
  <c r="P147" i="3" s="1"/>
  <c r="O262" i="1"/>
  <c r="O147" i="3" s="1"/>
  <c r="N262" i="1"/>
  <c r="N147" i="3" s="1"/>
  <c r="M262" i="1"/>
  <c r="M147" i="3" s="1"/>
  <c r="L262" i="1"/>
  <c r="L147" i="3" s="1"/>
  <c r="K262" i="1"/>
  <c r="K147" i="3" s="1"/>
  <c r="J262" i="1"/>
  <c r="I262"/>
  <c r="I147" i="3" s="1"/>
  <c r="H262" i="1"/>
  <c r="H147" i="3" s="1"/>
  <c r="G262" i="1"/>
  <c r="G147" i="3" s="1"/>
  <c r="F262" i="1"/>
  <c r="F147" i="3" s="1"/>
  <c r="E262" i="1"/>
  <c r="E147" i="3" s="1"/>
  <c r="D262" i="1"/>
  <c r="D147" i="3" s="1"/>
  <c r="C262" i="1"/>
  <c r="C147" i="3" s="1"/>
  <c r="B262" i="1"/>
  <c r="B147" i="3" s="1"/>
  <c r="Q261" i="1"/>
  <c r="Q146" i="3" s="1"/>
  <c r="P261" i="1"/>
  <c r="P146" i="3" s="1"/>
  <c r="O261" i="1"/>
  <c r="O146" i="3" s="1"/>
  <c r="N261" i="1"/>
  <c r="N146" i="3" s="1"/>
  <c r="M261" i="1"/>
  <c r="M146" i="3" s="1"/>
  <c r="L261" i="1"/>
  <c r="L146" i="3" s="1"/>
  <c r="K261" i="1"/>
  <c r="K146" i="3" s="1"/>
  <c r="J261" i="1"/>
  <c r="I261"/>
  <c r="I146" i="3" s="1"/>
  <c r="H261" i="1"/>
  <c r="H146" i="3" s="1"/>
  <c r="G261" i="1"/>
  <c r="G146" i="3" s="1"/>
  <c r="F261" i="1"/>
  <c r="F146" i="3" s="1"/>
  <c r="E261" i="1"/>
  <c r="E146" i="3" s="1"/>
  <c r="D261" i="1"/>
  <c r="C261"/>
  <c r="C146" i="3" s="1"/>
  <c r="B261" i="1"/>
  <c r="B146" i="3" s="1"/>
  <c r="Q260" i="1"/>
  <c r="Q145" i="3" s="1"/>
  <c r="P260" i="1"/>
  <c r="P145" i="3" s="1"/>
  <c r="O260" i="1"/>
  <c r="O145" i="3" s="1"/>
  <c r="N260" i="1"/>
  <c r="N145" i="3" s="1"/>
  <c r="M260" i="1"/>
  <c r="M145" i="3" s="1"/>
  <c r="L260" i="1"/>
  <c r="L145" i="3" s="1"/>
  <c r="K260" i="1"/>
  <c r="K145" i="3" s="1"/>
  <c r="J260" i="1"/>
  <c r="I260"/>
  <c r="I145" i="3" s="1"/>
  <c r="H260" i="1"/>
  <c r="H145" i="3" s="1"/>
  <c r="G260" i="1"/>
  <c r="G145" i="3" s="1"/>
  <c r="F260" i="1"/>
  <c r="F145" i="3" s="1"/>
  <c r="E260" i="1"/>
  <c r="E145" i="3" s="1"/>
  <c r="D260" i="1"/>
  <c r="C260"/>
  <c r="C145" i="3" s="1"/>
  <c r="B260" i="1"/>
  <c r="B145" i="3" s="1"/>
  <c r="Q259" i="1"/>
  <c r="Q144" i="3" s="1"/>
  <c r="P259" i="1"/>
  <c r="P144" i="3" s="1"/>
  <c r="O259" i="1"/>
  <c r="N259"/>
  <c r="N144" i="3" s="1"/>
  <c r="M259" i="1"/>
  <c r="M144" i="3" s="1"/>
  <c r="L259" i="1"/>
  <c r="L144" i="3" s="1"/>
  <c r="K259" i="1"/>
  <c r="K144" i="3" s="1"/>
  <c r="J259" i="1"/>
  <c r="J144" i="3" s="1"/>
  <c r="I259" i="1"/>
  <c r="I144" i="3" s="1"/>
  <c r="H259" i="1"/>
  <c r="H144" i="3" s="1"/>
  <c r="G259" i="1"/>
  <c r="G144" i="3" s="1"/>
  <c r="F259" i="1"/>
  <c r="F144" i="3" s="1"/>
  <c r="E259" i="1"/>
  <c r="E144" i="3" s="1"/>
  <c r="D259" i="1"/>
  <c r="C259"/>
  <c r="B259"/>
  <c r="B144" i="3" s="1"/>
  <c r="Q258" i="1"/>
  <c r="Q143" i="3" s="1"/>
  <c r="P258" i="1"/>
  <c r="P143" i="3" s="1"/>
  <c r="O258" i="1"/>
  <c r="N258"/>
  <c r="N143" i="3" s="1"/>
  <c r="M258" i="1"/>
  <c r="M143" i="3" s="1"/>
  <c r="L258" i="1"/>
  <c r="K258"/>
  <c r="K143" i="3" s="1"/>
  <c r="J258" i="1"/>
  <c r="J143" i="3" s="1"/>
  <c r="I258" i="1"/>
  <c r="H258"/>
  <c r="H143" i="3" s="1"/>
  <c r="G258" i="1"/>
  <c r="F258"/>
  <c r="E258"/>
  <c r="E143" i="3" s="1"/>
  <c r="D258" i="1"/>
  <c r="C258"/>
  <c r="B258"/>
  <c r="B143" i="3" s="1"/>
  <c r="Q257" i="1"/>
  <c r="P257"/>
  <c r="P142" i="3" s="1"/>
  <c r="O257" i="1"/>
  <c r="N257"/>
  <c r="N142" i="3" s="1"/>
  <c r="M257" i="1"/>
  <c r="L257"/>
  <c r="K257"/>
  <c r="K142" i="3" s="1"/>
  <c r="J257" i="1"/>
  <c r="J142" i="3" s="1"/>
  <c r="I257" i="1"/>
  <c r="I142" i="3" s="1"/>
  <c r="H257" i="1"/>
  <c r="G257"/>
  <c r="F257"/>
  <c r="F142" i="3" s="1"/>
  <c r="E257" i="1"/>
  <c r="E142" i="3" s="1"/>
  <c r="D257" i="1"/>
  <c r="C257"/>
  <c r="B257"/>
  <c r="Q256"/>
  <c r="Q141" i="3" s="1"/>
  <c r="P256" i="1"/>
  <c r="P141" i="3" s="1"/>
  <c r="O256" i="1"/>
  <c r="N256"/>
  <c r="N141" i="3" s="1"/>
  <c r="M256" i="1"/>
  <c r="L256"/>
  <c r="K256"/>
  <c r="K141" i="3" s="1"/>
  <c r="J256" i="1"/>
  <c r="J141" i="3" s="1"/>
  <c r="I256" i="1"/>
  <c r="I141" i="3" s="1"/>
  <c r="H256" i="1"/>
  <c r="G256"/>
  <c r="F256"/>
  <c r="F141" i="3" s="1"/>
  <c r="E256" i="1"/>
  <c r="D256"/>
  <c r="C256"/>
  <c r="B256"/>
  <c r="Q255"/>
  <c r="P255"/>
  <c r="O255"/>
  <c r="N255"/>
  <c r="N140" i="3" s="1"/>
  <c r="M255" i="1"/>
  <c r="L255"/>
  <c r="K255"/>
  <c r="J255"/>
  <c r="I255"/>
  <c r="H255"/>
  <c r="G255"/>
  <c r="F255"/>
  <c r="E255"/>
  <c r="D255"/>
  <c r="C255"/>
  <c r="B255"/>
  <c r="Q254"/>
  <c r="Q139" i="3" s="1"/>
  <c r="P254" i="1"/>
  <c r="P139" i="3" s="1"/>
  <c r="O254" i="1"/>
  <c r="N254"/>
  <c r="N139" i="3" s="1"/>
  <c r="M254" i="1"/>
  <c r="L254"/>
  <c r="L139" i="3" s="1"/>
  <c r="K254" i="1"/>
  <c r="K139" i="3" s="1"/>
  <c r="J254" i="1"/>
  <c r="J139" i="3" s="1"/>
  <c r="I254" i="1"/>
  <c r="I139" i="3" s="1"/>
  <c r="H254" i="1"/>
  <c r="H139" i="3" s="1"/>
  <c r="G254" i="1"/>
  <c r="G139" i="3" s="1"/>
  <c r="F254" i="1"/>
  <c r="F139" i="3" s="1"/>
  <c r="E254" i="1"/>
  <c r="D254"/>
  <c r="C254"/>
  <c r="B254"/>
  <c r="Q253"/>
  <c r="P253"/>
  <c r="P138" i="3" s="1"/>
  <c r="O253" i="1"/>
  <c r="N253"/>
  <c r="N138" i="3" s="1"/>
  <c r="M253" i="1"/>
  <c r="L253"/>
  <c r="K253"/>
  <c r="J253"/>
  <c r="I253"/>
  <c r="I138" i="3" s="1"/>
  <c r="H253" i="1"/>
  <c r="H138" i="3" s="1"/>
  <c r="G253" i="1"/>
  <c r="F253"/>
  <c r="F138" i="3" s="1"/>
  <c r="E253" i="1"/>
  <c r="D253"/>
  <c r="C253"/>
  <c r="B253"/>
  <c r="B138" i="3" s="1"/>
  <c r="N246" i="1"/>
  <c r="N129" i="3" s="1"/>
  <c r="M246" i="1"/>
  <c r="L246"/>
  <c r="L129" i="3" s="1"/>
  <c r="K246" i="1"/>
  <c r="K129" i="3" s="1"/>
  <c r="J246" i="1"/>
  <c r="J129" i="3" s="1"/>
  <c r="I246" i="1"/>
  <c r="I129" i="3" s="1"/>
  <c r="H246" i="1"/>
  <c r="H129" i="3" s="1"/>
  <c r="G246" i="1"/>
  <c r="G129" i="3" s="1"/>
  <c r="F246" i="1"/>
  <c r="F129" i="3" s="1"/>
  <c r="E246" i="1"/>
  <c r="E129" i="3" s="1"/>
  <c r="D246" i="1"/>
  <c r="D129" i="3" s="1"/>
  <c r="C246" i="1"/>
  <c r="C129" i="3" s="1"/>
  <c r="B246" i="1"/>
  <c r="N245"/>
  <c r="N128" i="3" s="1"/>
  <c r="M245" i="1"/>
  <c r="M128" i="3" s="1"/>
  <c r="L245" i="1"/>
  <c r="L128" i="3" s="1"/>
  <c r="K245" i="1"/>
  <c r="K128" i="3" s="1"/>
  <c r="J245" i="1"/>
  <c r="J128" i="3" s="1"/>
  <c r="I245" i="1"/>
  <c r="I128" i="3" s="1"/>
  <c r="H245" i="1"/>
  <c r="H128" i="3" s="1"/>
  <c r="G245" i="1"/>
  <c r="G128" i="3" s="1"/>
  <c r="F245" i="1"/>
  <c r="F128" i="3" s="1"/>
  <c r="E245" i="1"/>
  <c r="E128" i="3" s="1"/>
  <c r="D245" i="1"/>
  <c r="D128" i="3" s="1"/>
  <c r="C245" i="1"/>
  <c r="C128" i="3" s="1"/>
  <c r="B245" i="1"/>
  <c r="B128" i="3" s="1"/>
  <c r="N244" i="1"/>
  <c r="N127" i="3" s="1"/>
  <c r="M244" i="1"/>
  <c r="M127" i="3" s="1"/>
  <c r="L244" i="1"/>
  <c r="L127" i="3" s="1"/>
  <c r="K244" i="1"/>
  <c r="K127" i="3" s="1"/>
  <c r="J244" i="1"/>
  <c r="J127" i="3" s="1"/>
  <c r="I244" i="1"/>
  <c r="I127" i="3" s="1"/>
  <c r="H244" i="1"/>
  <c r="H127" i="3" s="1"/>
  <c r="G244" i="1"/>
  <c r="G127" i="3" s="1"/>
  <c r="F244" i="1"/>
  <c r="F127" i="3" s="1"/>
  <c r="E244" i="1"/>
  <c r="E127" i="3" s="1"/>
  <c r="D244" i="1"/>
  <c r="D127" i="3" s="1"/>
  <c r="C244" i="1"/>
  <c r="C127" i="3" s="1"/>
  <c r="B244" i="1"/>
  <c r="N243"/>
  <c r="N126" i="3" s="1"/>
  <c r="M243" i="1"/>
  <c r="L243"/>
  <c r="L126" i="3" s="1"/>
  <c r="K243" i="1"/>
  <c r="J243"/>
  <c r="J126" i="3" s="1"/>
  <c r="I243" i="1"/>
  <c r="H243"/>
  <c r="H126" i="3" s="1"/>
  <c r="G243" i="1"/>
  <c r="G126" i="3" s="1"/>
  <c r="F243" i="1"/>
  <c r="F126" i="3" s="1"/>
  <c r="E243" i="1"/>
  <c r="E126" i="3" s="1"/>
  <c r="D243" i="1"/>
  <c r="D126" i="3" s="1"/>
  <c r="C243" i="1"/>
  <c r="C126" i="3" s="1"/>
  <c r="B243" i="1"/>
  <c r="B126" i="3" s="1"/>
  <c r="N242" i="1"/>
  <c r="M242"/>
  <c r="L242"/>
  <c r="L125" i="3" s="1"/>
  <c r="K242" i="1"/>
  <c r="J242"/>
  <c r="J125" i="3" s="1"/>
  <c r="I242" i="1"/>
  <c r="H242"/>
  <c r="H125" i="3" s="1"/>
  <c r="G242" i="1"/>
  <c r="G125" i="3" s="1"/>
  <c r="F242" i="1"/>
  <c r="F125" i="3" s="1"/>
  <c r="E242" i="1"/>
  <c r="E125" i="3" s="1"/>
  <c r="D242" i="1"/>
  <c r="D125" i="3" s="1"/>
  <c r="C242" i="1"/>
  <c r="B242"/>
  <c r="N241"/>
  <c r="M241"/>
  <c r="L241"/>
  <c r="L124" i="3" s="1"/>
  <c r="K241" i="1"/>
  <c r="J241"/>
  <c r="J124" i="3" s="1"/>
  <c r="I241" i="1"/>
  <c r="H241"/>
  <c r="H124" i="3" s="1"/>
  <c r="G241" i="1"/>
  <c r="G124" i="3" s="1"/>
  <c r="F241" i="1"/>
  <c r="E241"/>
  <c r="E124" i="3" s="1"/>
  <c r="D241" i="1"/>
  <c r="D124" i="3" s="1"/>
  <c r="C241" i="1"/>
  <c r="B241"/>
  <c r="N240"/>
  <c r="N123" i="3" s="1"/>
  <c r="M240" i="1"/>
  <c r="L240"/>
  <c r="K240"/>
  <c r="K123" i="3" s="1"/>
  <c r="J240" i="1"/>
  <c r="J123" i="3" s="1"/>
  <c r="I240" i="1"/>
  <c r="I123" i="3" s="1"/>
  <c r="H240" i="1"/>
  <c r="H123" i="3" s="1"/>
  <c r="G240" i="1"/>
  <c r="G123" i="3" s="1"/>
  <c r="F240" i="1"/>
  <c r="F123" i="3" s="1"/>
  <c r="E240" i="1"/>
  <c r="E123" i="3" s="1"/>
  <c r="D240" i="1"/>
  <c r="D123" i="3" s="1"/>
  <c r="C240" i="1"/>
  <c r="C123" i="3" s="1"/>
  <c r="B240" i="1"/>
  <c r="B123" i="3" s="1"/>
  <c r="N239" i="1"/>
  <c r="M239"/>
  <c r="M122" i="3" s="1"/>
  <c r="L239" i="1"/>
  <c r="L122" i="3" s="1"/>
  <c r="K239" i="1"/>
  <c r="K122" i="3" s="1"/>
  <c r="J239" i="1"/>
  <c r="J122" i="3" s="1"/>
  <c r="I239" i="1"/>
  <c r="I122" i="3" s="1"/>
  <c r="H239" i="1"/>
  <c r="H122" i="3" s="1"/>
  <c r="G239" i="1"/>
  <c r="G122" i="3" s="1"/>
  <c r="F239" i="1"/>
  <c r="F122" i="3" s="1"/>
  <c r="E239" i="1"/>
  <c r="E122" i="3" s="1"/>
  <c r="D239" i="1"/>
  <c r="D122" i="3" s="1"/>
  <c r="C239" i="1"/>
  <c r="B239"/>
  <c r="B122" i="3" s="1"/>
  <c r="N238" i="1"/>
  <c r="N121" i="3" s="1"/>
  <c r="M238" i="1"/>
  <c r="L238"/>
  <c r="K238"/>
  <c r="J238"/>
  <c r="J121" i="3" s="1"/>
  <c r="I238" i="1"/>
  <c r="H238"/>
  <c r="H121" i="3" s="1"/>
  <c r="G238" i="1"/>
  <c r="G121" i="3" s="1"/>
  <c r="F238" i="1"/>
  <c r="F121" i="3" s="1"/>
  <c r="E238" i="1"/>
  <c r="E121" i="3" s="1"/>
  <c r="D238" i="1"/>
  <c r="D121" i="3" s="1"/>
  <c r="C238" i="1"/>
  <c r="C121" i="3" s="1"/>
  <c r="B238" i="1"/>
  <c r="B121" i="3" s="1"/>
  <c r="N237" i="1"/>
  <c r="M237"/>
  <c r="L237"/>
  <c r="K237"/>
  <c r="K120" i="3" s="1"/>
  <c r="J237" i="1"/>
  <c r="J120" i="3" s="1"/>
  <c r="I237" i="1"/>
  <c r="H237"/>
  <c r="H120" i="3" s="1"/>
  <c r="G237" i="1"/>
  <c r="G120" i="3" s="1"/>
  <c r="F237" i="1"/>
  <c r="F120" i="3" s="1"/>
  <c r="E237" i="1"/>
  <c r="E120" i="3" s="1"/>
  <c r="D237" i="1"/>
  <c r="D120" i="3" s="1"/>
  <c r="C237" i="1"/>
  <c r="C120" i="3" s="1"/>
  <c r="B237" i="1"/>
  <c r="N236"/>
  <c r="N119" i="3" s="1"/>
  <c r="M236" i="1"/>
  <c r="M119" i="3" s="1"/>
  <c r="L236" i="1"/>
  <c r="L119" i="3" s="1"/>
  <c r="K236" i="1"/>
  <c r="K119" i="3" s="1"/>
  <c r="J236" i="1"/>
  <c r="J119" i="3" s="1"/>
  <c r="I236" i="1"/>
  <c r="I119" i="3" s="1"/>
  <c r="H236" i="1"/>
  <c r="H119" i="3" s="1"/>
  <c r="G236" i="1"/>
  <c r="G119" i="3" s="1"/>
  <c r="F236" i="1"/>
  <c r="F119" i="3" s="1"/>
  <c r="E236" i="1"/>
  <c r="E119" i="3" s="1"/>
  <c r="D236" i="1"/>
  <c r="D119" i="3" s="1"/>
  <c r="C236" i="1"/>
  <c r="C119" i="3" s="1"/>
  <c r="B236" i="1"/>
  <c r="N235"/>
  <c r="N118" i="3" s="1"/>
  <c r="M235" i="1"/>
  <c r="L235"/>
  <c r="L118" i="3" s="1"/>
  <c r="K235" i="1"/>
  <c r="K118" i="3" s="1"/>
  <c r="J235" i="1"/>
  <c r="J118" i="3" s="1"/>
  <c r="I235" i="1"/>
  <c r="I118" i="3" s="1"/>
  <c r="H235" i="1"/>
  <c r="H118" i="3" s="1"/>
  <c r="G235" i="1"/>
  <c r="G118" i="3" s="1"/>
  <c r="F235" i="1"/>
  <c r="F118" i="3" s="1"/>
  <c r="E235" i="1"/>
  <c r="E118" i="3" s="1"/>
  <c r="D235" i="1"/>
  <c r="D118" i="3" s="1"/>
  <c r="C235" i="1"/>
  <c r="C118" i="3" s="1"/>
  <c r="B235" i="1"/>
  <c r="N234"/>
  <c r="N117" i="3" s="1"/>
  <c r="M234" i="1"/>
  <c r="L234"/>
  <c r="L117" i="3" s="1"/>
  <c r="K234" i="1"/>
  <c r="K117" i="3" s="1"/>
  <c r="J234" i="1"/>
  <c r="J117" i="3" s="1"/>
  <c r="I234" i="1"/>
  <c r="I117" i="3" s="1"/>
  <c r="H234" i="1"/>
  <c r="H117" i="3" s="1"/>
  <c r="G234" i="1"/>
  <c r="G117" i="3" s="1"/>
  <c r="F234" i="1"/>
  <c r="E234"/>
  <c r="E117" i="3" s="1"/>
  <c r="D234" i="1"/>
  <c r="D117" i="3" s="1"/>
  <c r="C234" i="1"/>
  <c r="C117" i="3" s="1"/>
  <c r="B234" i="1"/>
  <c r="N233"/>
  <c r="N116" i="3" s="1"/>
  <c r="M233" i="1"/>
  <c r="L233"/>
  <c r="L116" i="3" s="1"/>
  <c r="K233" i="1"/>
  <c r="K116" i="3" s="1"/>
  <c r="J233" i="1"/>
  <c r="J116" i="3" s="1"/>
  <c r="I233" i="1"/>
  <c r="I116" i="3" s="1"/>
  <c r="H233" i="1"/>
  <c r="H116" i="3" s="1"/>
  <c r="G233" i="1"/>
  <c r="G116" i="3" s="1"/>
  <c r="F233" i="1"/>
  <c r="F116" i="3" s="1"/>
  <c r="E233" i="1"/>
  <c r="E116" i="3" s="1"/>
  <c r="D233" i="1"/>
  <c r="D116" i="3" s="1"/>
  <c r="C233" i="1"/>
  <c r="C116" i="3" s="1"/>
  <c r="B233" i="1"/>
  <c r="B116" i="3" s="1"/>
  <c r="N232" i="1"/>
  <c r="M232"/>
  <c r="L232"/>
  <c r="L115" i="3" s="1"/>
  <c r="K232" i="1"/>
  <c r="J232"/>
  <c r="J115" i="3" s="1"/>
  <c r="I232" i="1"/>
  <c r="I115" i="3" s="1"/>
  <c r="H232" i="1"/>
  <c r="H115" i="3" s="1"/>
  <c r="G232" i="1"/>
  <c r="G115" i="3" s="1"/>
  <c r="F232" i="1"/>
  <c r="F115" i="3" s="1"/>
  <c r="E232" i="1"/>
  <c r="E115" i="3" s="1"/>
  <c r="D232" i="1"/>
  <c r="D115" i="3" s="1"/>
  <c r="C232" i="1"/>
  <c r="C115" i="3" s="1"/>
  <c r="B232" i="1"/>
  <c r="N231"/>
  <c r="N114" i="3" s="1"/>
  <c r="M231" i="1"/>
  <c r="L231"/>
  <c r="L114" i="3" s="1"/>
  <c r="K231" i="1"/>
  <c r="K114" i="3" s="1"/>
  <c r="J231" i="1"/>
  <c r="J114" i="3" s="1"/>
  <c r="I231" i="1"/>
  <c r="H231"/>
  <c r="H114" i="3" s="1"/>
  <c r="G231" i="1"/>
  <c r="G114" i="3" s="1"/>
  <c r="F231" i="1"/>
  <c r="F114" i="3" s="1"/>
  <c r="E231" i="1"/>
  <c r="E114" i="3" s="1"/>
  <c r="D231" i="1"/>
  <c r="D114" i="3" s="1"/>
  <c r="C231" i="1"/>
  <c r="C114" i="3" s="1"/>
  <c r="B231" i="1"/>
  <c r="B114" i="3" s="1"/>
  <c r="N230" i="1"/>
  <c r="N113" i="3" s="1"/>
  <c r="M230" i="1"/>
  <c r="M113" i="3" s="1"/>
  <c r="L230" i="1"/>
  <c r="L113" i="3" s="1"/>
  <c r="K230" i="1"/>
  <c r="K113" i="3" s="1"/>
  <c r="J230" i="1"/>
  <c r="J113" i="3" s="1"/>
  <c r="I230" i="1"/>
  <c r="I113" i="3" s="1"/>
  <c r="H230" i="1"/>
  <c r="H113" i="3" s="1"/>
  <c r="G230" i="1"/>
  <c r="G113" i="3" s="1"/>
  <c r="F230" i="1"/>
  <c r="F113" i="3" s="1"/>
  <c r="E230" i="1"/>
  <c r="E113" i="3" s="1"/>
  <c r="D230" i="1"/>
  <c r="D113" i="3" s="1"/>
  <c r="C230" i="1"/>
  <c r="C113" i="3" s="1"/>
  <c r="B230" i="1"/>
  <c r="B113" i="3" s="1"/>
  <c r="N229" i="1"/>
  <c r="N112" i="3" s="1"/>
  <c r="M229" i="1"/>
  <c r="L229"/>
  <c r="K229"/>
  <c r="J229"/>
  <c r="J112" i="3" s="1"/>
  <c r="I229" i="1"/>
  <c r="I112" i="3" s="1"/>
  <c r="H229" i="1"/>
  <c r="H112" i="3" s="1"/>
  <c r="G229" i="1"/>
  <c r="G112" i="3" s="1"/>
  <c r="F229" i="1"/>
  <c r="F112" i="3" s="1"/>
  <c r="E229" i="1"/>
  <c r="D229"/>
  <c r="C229"/>
  <c r="B229"/>
  <c r="N228"/>
  <c r="N111" i="3" s="1"/>
  <c r="M228" i="1"/>
  <c r="L228"/>
  <c r="K228"/>
  <c r="J228"/>
  <c r="J111" i="3" s="1"/>
  <c r="I228" i="1"/>
  <c r="H228"/>
  <c r="H111" i="3" s="1"/>
  <c r="G228" i="1"/>
  <c r="G111" i="3" s="1"/>
  <c r="F228" i="1"/>
  <c r="F111" i="3" s="1"/>
  <c r="E228" i="1"/>
  <c r="D228"/>
  <c r="C228"/>
  <c r="B228"/>
  <c r="B111" i="3" s="1"/>
  <c r="N227" i="1"/>
  <c r="N110" i="3" s="1"/>
  <c r="M227" i="1"/>
  <c r="L227"/>
  <c r="K227"/>
  <c r="K110" i="3" s="1"/>
  <c r="J227" i="1"/>
  <c r="J110" i="3" s="1"/>
  <c r="I227" i="1"/>
  <c r="H227"/>
  <c r="H110" i="3" s="1"/>
  <c r="G227" i="1"/>
  <c r="G110" i="3" s="1"/>
  <c r="F227" i="1"/>
  <c r="E227"/>
  <c r="D227"/>
  <c r="C227"/>
  <c r="B227"/>
  <c r="B110" i="3" s="1"/>
  <c r="N226" i="1"/>
  <c r="N109" i="3" s="1"/>
  <c r="M226" i="1"/>
  <c r="L226"/>
  <c r="K226"/>
  <c r="J226"/>
  <c r="J109" i="3" s="1"/>
  <c r="I226" i="1"/>
  <c r="H226"/>
  <c r="H109" i="3" s="1"/>
  <c r="G226" i="1"/>
  <c r="G109" i="3" s="1"/>
  <c r="F226" i="1"/>
  <c r="E226"/>
  <c r="D226"/>
  <c r="C226"/>
  <c r="B226"/>
  <c r="N225"/>
  <c r="N108" i="3" s="1"/>
  <c r="M225" i="1"/>
  <c r="M108" i="3" s="1"/>
  <c r="L225" i="1"/>
  <c r="L108" i="3" s="1"/>
  <c r="K225" i="1"/>
  <c r="K108" i="3" s="1"/>
  <c r="J225" i="1"/>
  <c r="J108" i="3" s="1"/>
  <c r="I225" i="1"/>
  <c r="I108" i="3" s="1"/>
  <c r="H225" i="1"/>
  <c r="H108" i="3" s="1"/>
  <c r="G225" i="1"/>
  <c r="G108" i="3" s="1"/>
  <c r="F225" i="1"/>
  <c r="F108" i="3" s="1"/>
  <c r="E225" i="1"/>
  <c r="E108" i="3" s="1"/>
  <c r="D225" i="1"/>
  <c r="C225"/>
  <c r="C108" i="3" s="1"/>
  <c r="B225" i="1"/>
  <c r="B108" i="3" s="1"/>
  <c r="N224" i="1"/>
  <c r="M224"/>
  <c r="L224"/>
  <c r="K224"/>
  <c r="K107" i="3" s="1"/>
  <c r="J224" i="1"/>
  <c r="J107" i="3" s="1"/>
  <c r="I224" i="1"/>
  <c r="I107" i="3" s="1"/>
  <c r="H224" i="1"/>
  <c r="G224"/>
  <c r="G107" i="3" s="1"/>
  <c r="F224" i="1"/>
  <c r="F107" i="3" s="1"/>
  <c r="E224" i="1"/>
  <c r="D224"/>
  <c r="C224"/>
  <c r="B224"/>
  <c r="N216"/>
  <c r="N98" i="3" s="1"/>
  <c r="M216" i="1"/>
  <c r="M98" i="3" s="1"/>
  <c r="L216" i="1"/>
  <c r="L98" i="3" s="1"/>
  <c r="K216" i="1"/>
  <c r="K98" i="3" s="1"/>
  <c r="J216" i="1"/>
  <c r="J98" i="3" s="1"/>
  <c r="I216" i="1"/>
  <c r="I98" i="3" s="1"/>
  <c r="H216" i="1"/>
  <c r="H98" i="3" s="1"/>
  <c r="G216" i="1"/>
  <c r="G98" i="3" s="1"/>
  <c r="F216" i="1"/>
  <c r="F98" i="3" s="1"/>
  <c r="E216" i="1"/>
  <c r="E98" i="3" s="1"/>
  <c r="D216" i="1"/>
  <c r="D98" i="3" s="1"/>
  <c r="C216" i="1"/>
  <c r="C98" i="3" s="1"/>
  <c r="B216" i="1"/>
  <c r="N215"/>
  <c r="N97" i="3" s="1"/>
  <c r="M215" i="1"/>
  <c r="M97" i="3" s="1"/>
  <c r="L215" i="1"/>
  <c r="L97" i="3" s="1"/>
  <c r="K215" i="1"/>
  <c r="K97" i="3" s="1"/>
  <c r="J215" i="1"/>
  <c r="J97" i="3" s="1"/>
  <c r="I215" i="1"/>
  <c r="I97" i="3" s="1"/>
  <c r="H215" i="1"/>
  <c r="H97" i="3" s="1"/>
  <c r="G215" i="1"/>
  <c r="G97" i="3" s="1"/>
  <c r="F215" i="1"/>
  <c r="F97" i="3" s="1"/>
  <c r="E215" i="1"/>
  <c r="E97" i="3" s="1"/>
  <c r="D215" i="1"/>
  <c r="D97" i="3" s="1"/>
  <c r="C215" i="1"/>
  <c r="C97" i="3" s="1"/>
  <c r="B215" i="1"/>
  <c r="N214"/>
  <c r="N96" i="3" s="1"/>
  <c r="M214" i="1"/>
  <c r="M96" i="3" s="1"/>
  <c r="L214" i="1"/>
  <c r="L96" i="3" s="1"/>
  <c r="K214" i="1"/>
  <c r="K96" i="3" s="1"/>
  <c r="J214" i="1"/>
  <c r="J96" i="3" s="1"/>
  <c r="I214" i="1"/>
  <c r="I96" i="3" s="1"/>
  <c r="H214" i="1"/>
  <c r="G214"/>
  <c r="G96" i="3" s="1"/>
  <c r="F214" i="1"/>
  <c r="F96" i="3" s="1"/>
  <c r="E214" i="1"/>
  <c r="E96" i="3" s="1"/>
  <c r="D214" i="1"/>
  <c r="D96" i="3" s="1"/>
  <c r="C214" i="1"/>
  <c r="B214"/>
  <c r="B96" i="3" s="1"/>
  <c r="N213" i="1"/>
  <c r="N95" i="3" s="1"/>
  <c r="M213" i="1"/>
  <c r="M95" i="3" s="1"/>
  <c r="L213" i="1"/>
  <c r="L95" i="3" s="1"/>
  <c r="K213" i="1"/>
  <c r="J213"/>
  <c r="J95" i="3" s="1"/>
  <c r="I213" i="1"/>
  <c r="I95" i="3" s="1"/>
  <c r="H213" i="1"/>
  <c r="G213"/>
  <c r="G95" i="3" s="1"/>
  <c r="F213" i="1"/>
  <c r="F95" i="3" s="1"/>
  <c r="E213" i="1"/>
  <c r="E95" i="3" s="1"/>
  <c r="D213" i="1"/>
  <c r="D95" i="3" s="1"/>
  <c r="C213" i="1"/>
  <c r="C95" i="3" s="1"/>
  <c r="B213" i="1"/>
  <c r="B95" i="3" s="1"/>
  <c r="N212" i="1"/>
  <c r="M212"/>
  <c r="M94" i="3" s="1"/>
  <c r="L212" i="1"/>
  <c r="L94" i="3" s="1"/>
  <c r="K212" i="1"/>
  <c r="J212"/>
  <c r="J94" i="3" s="1"/>
  <c r="I212" i="1"/>
  <c r="I94" i="3" s="1"/>
  <c r="H212" i="1"/>
  <c r="G212"/>
  <c r="G94" i="3" s="1"/>
  <c r="F212" i="1"/>
  <c r="F94" i="3" s="1"/>
  <c r="E212" i="1"/>
  <c r="E94" i="3" s="1"/>
  <c r="D212" i="1"/>
  <c r="D94" i="3" s="1"/>
  <c r="C212" i="1"/>
  <c r="B212"/>
  <c r="N211"/>
  <c r="M211"/>
  <c r="M93" i="3" s="1"/>
  <c r="L211" i="1"/>
  <c r="L93" i="3" s="1"/>
  <c r="K211" i="1"/>
  <c r="K93" i="3" s="1"/>
  <c r="J211" i="1"/>
  <c r="J93" i="3" s="1"/>
  <c r="I211" i="1"/>
  <c r="I93" i="3" s="1"/>
  <c r="H211" i="1"/>
  <c r="H93" i="3" s="1"/>
  <c r="G211" i="1"/>
  <c r="G93" i="3" s="1"/>
  <c r="F211" i="1"/>
  <c r="F93" i="3" s="1"/>
  <c r="E211" i="1"/>
  <c r="E93" i="3" s="1"/>
  <c r="D211" i="1"/>
  <c r="D93" i="3" s="1"/>
  <c r="C211" i="1"/>
  <c r="B211"/>
  <c r="N210"/>
  <c r="N92" i="3" s="1"/>
  <c r="M210" i="1"/>
  <c r="M92" i="3" s="1"/>
  <c r="L210" i="1"/>
  <c r="L92" i="3" s="1"/>
  <c r="K210" i="1"/>
  <c r="K92" i="3" s="1"/>
  <c r="J210" i="1"/>
  <c r="J92" i="3" s="1"/>
  <c r="I210" i="1"/>
  <c r="I92" i="3" s="1"/>
  <c r="H210" i="1"/>
  <c r="H92" i="3" s="1"/>
  <c r="G210" i="1"/>
  <c r="G92" i="3" s="1"/>
  <c r="F210" i="1"/>
  <c r="F92" i="3" s="1"/>
  <c r="E210" i="1"/>
  <c r="E92" i="3" s="1"/>
  <c r="D210" i="1"/>
  <c r="D92" i="3" s="1"/>
  <c r="C210" i="1"/>
  <c r="B210"/>
  <c r="B92" i="3" s="1"/>
  <c r="N209" i="1"/>
  <c r="M209"/>
  <c r="M91" i="3" s="1"/>
  <c r="L209" i="1"/>
  <c r="L91" i="3" s="1"/>
  <c r="K209" i="1"/>
  <c r="J209"/>
  <c r="J91" i="3" s="1"/>
  <c r="I209" i="1"/>
  <c r="I91" i="3" s="1"/>
  <c r="H209" i="1"/>
  <c r="H91" i="3" s="1"/>
  <c r="G209" i="1"/>
  <c r="G91" i="3" s="1"/>
  <c r="F209" i="1"/>
  <c r="F91" i="3" s="1"/>
  <c r="E209" i="1"/>
  <c r="E91" i="3" s="1"/>
  <c r="D209" i="1"/>
  <c r="D91" i="3" s="1"/>
  <c r="C209" i="1"/>
  <c r="C91" i="3" s="1"/>
  <c r="B209" i="1"/>
  <c r="N208"/>
  <c r="N90" i="3" s="1"/>
  <c r="M208" i="1"/>
  <c r="M90" i="3" s="1"/>
  <c r="L208" i="1"/>
  <c r="L90" i="3" s="1"/>
  <c r="K208" i="1"/>
  <c r="K90" i="3" s="1"/>
  <c r="J208" i="1"/>
  <c r="J90" i="3" s="1"/>
  <c r="I208" i="1"/>
  <c r="I90" i="3" s="1"/>
  <c r="H208" i="1"/>
  <c r="H90" i="3" s="1"/>
  <c r="G208" i="1"/>
  <c r="G90" i="3" s="1"/>
  <c r="F208" i="1"/>
  <c r="F90" i="3" s="1"/>
  <c r="E208" i="1"/>
  <c r="E90" i="3" s="1"/>
  <c r="D208" i="1"/>
  <c r="D90" i="3" s="1"/>
  <c r="C208" i="1"/>
  <c r="C90" i="3" s="1"/>
  <c r="B208" i="1"/>
  <c r="B90" i="3" s="1"/>
  <c r="N207" i="1"/>
  <c r="N89" i="3" s="1"/>
  <c r="M207" i="1"/>
  <c r="M89" i="3" s="1"/>
  <c r="L207" i="1"/>
  <c r="L89" i="3" s="1"/>
  <c r="K207" i="1"/>
  <c r="K89" i="3" s="1"/>
  <c r="J207" i="1"/>
  <c r="J89" i="3" s="1"/>
  <c r="I207" i="1"/>
  <c r="I89" i="3" s="1"/>
  <c r="H207" i="1"/>
  <c r="H89" i="3" s="1"/>
  <c r="G207" i="1"/>
  <c r="G89" i="3" s="1"/>
  <c r="F207" i="1"/>
  <c r="F89" i="3" s="1"/>
  <c r="E207" i="1"/>
  <c r="E89" i="3" s="1"/>
  <c r="D207" i="1"/>
  <c r="D89" i="3" s="1"/>
  <c r="C207" i="1"/>
  <c r="C89" i="3" s="1"/>
  <c r="B207" i="1"/>
  <c r="B89" i="3" s="1"/>
  <c r="N206" i="1"/>
  <c r="N88" i="3" s="1"/>
  <c r="M206" i="1"/>
  <c r="M88" i="3" s="1"/>
  <c r="L206" i="1"/>
  <c r="L88" i="3" s="1"/>
  <c r="K206" i="1"/>
  <c r="K88" i="3" s="1"/>
  <c r="J206" i="1"/>
  <c r="J88" i="3" s="1"/>
  <c r="I206" i="1"/>
  <c r="I88" i="3" s="1"/>
  <c r="H206" i="1"/>
  <c r="H88" i="3" s="1"/>
  <c r="G206" i="1"/>
  <c r="G88" i="3" s="1"/>
  <c r="F206" i="1"/>
  <c r="F88" i="3" s="1"/>
  <c r="E206" i="1"/>
  <c r="E88" i="3" s="1"/>
  <c r="D206" i="1"/>
  <c r="D88" i="3" s="1"/>
  <c r="C206" i="1"/>
  <c r="C88" i="3" s="1"/>
  <c r="B206" i="1"/>
  <c r="B88" i="3" s="1"/>
  <c r="N205" i="1"/>
  <c r="N87" i="3" s="1"/>
  <c r="M205" i="1"/>
  <c r="M87" i="3" s="1"/>
  <c r="L205" i="1"/>
  <c r="L87" i="3" s="1"/>
  <c r="K205" i="1"/>
  <c r="K87" i="3" s="1"/>
  <c r="J205" i="1"/>
  <c r="J87" i="3" s="1"/>
  <c r="I205" i="1"/>
  <c r="I87" i="3" s="1"/>
  <c r="H205" i="1"/>
  <c r="H87" i="3" s="1"/>
  <c r="G205" i="1"/>
  <c r="G87" i="3" s="1"/>
  <c r="F205" i="1"/>
  <c r="F87" i="3" s="1"/>
  <c r="E205" i="1"/>
  <c r="E87" i="3" s="1"/>
  <c r="D205" i="1"/>
  <c r="D87" i="3" s="1"/>
  <c r="C205" i="1"/>
  <c r="C87" i="3" s="1"/>
  <c r="B205" i="1"/>
  <c r="B87" i="3" s="1"/>
  <c r="N204" i="1"/>
  <c r="N86" i="3" s="1"/>
  <c r="M204" i="1"/>
  <c r="M86" i="3" s="1"/>
  <c r="L204" i="1"/>
  <c r="L86" i="3" s="1"/>
  <c r="K204" i="1"/>
  <c r="K86" i="3" s="1"/>
  <c r="J204" i="1"/>
  <c r="J86" i="3" s="1"/>
  <c r="I204" i="1"/>
  <c r="I86" i="3" s="1"/>
  <c r="H204" i="1"/>
  <c r="G204"/>
  <c r="G86" i="3" s="1"/>
  <c r="F204" i="1"/>
  <c r="F86" i="3" s="1"/>
  <c r="E204" i="1"/>
  <c r="E86" i="3" s="1"/>
  <c r="D204" i="1"/>
  <c r="D86" i="3" s="1"/>
  <c r="C204" i="1"/>
  <c r="B204"/>
  <c r="B86" i="3" s="1"/>
  <c r="N203" i="1"/>
  <c r="M203"/>
  <c r="M85" i="3" s="1"/>
  <c r="L203" i="1"/>
  <c r="L85" i="3" s="1"/>
  <c r="K203" i="1"/>
  <c r="K85" i="3" s="1"/>
  <c r="J203" i="1"/>
  <c r="J85" i="3" s="1"/>
  <c r="I203" i="1"/>
  <c r="I85" i="3" s="1"/>
  <c r="H203" i="1"/>
  <c r="G203"/>
  <c r="G85" i="3" s="1"/>
  <c r="F203" i="1"/>
  <c r="F85" i="3" s="1"/>
  <c r="E203" i="1"/>
  <c r="E85" i="3" s="1"/>
  <c r="D203" i="1"/>
  <c r="D85" i="3" s="1"/>
  <c r="C203" i="1"/>
  <c r="B203"/>
  <c r="B85" i="3" s="1"/>
  <c r="N202" i="1"/>
  <c r="M202"/>
  <c r="M84" i="3" s="1"/>
  <c r="L202" i="1"/>
  <c r="L84" i="3" s="1"/>
  <c r="K202" i="1"/>
  <c r="J202"/>
  <c r="J84" i="3" s="1"/>
  <c r="I202" i="1"/>
  <c r="I84" i="3" s="1"/>
  <c r="H202" i="1"/>
  <c r="G202"/>
  <c r="G84" i="3" s="1"/>
  <c r="F202" i="1"/>
  <c r="F84" i="3" s="1"/>
  <c r="E202" i="1"/>
  <c r="E84" i="3" s="1"/>
  <c r="D202" i="1"/>
  <c r="D84" i="3" s="1"/>
  <c r="C202" i="1"/>
  <c r="B202"/>
  <c r="N201"/>
  <c r="M201"/>
  <c r="M83" i="3" s="1"/>
  <c r="L201" i="1"/>
  <c r="L83" i="3" s="1"/>
  <c r="K201" i="1"/>
  <c r="J201"/>
  <c r="J83" i="3" s="1"/>
  <c r="I201" i="1"/>
  <c r="I83" i="3" s="1"/>
  <c r="H201" i="1"/>
  <c r="G201"/>
  <c r="G83" i="3" s="1"/>
  <c r="F201" i="1"/>
  <c r="E201"/>
  <c r="E83" i="3" s="1"/>
  <c r="D201" i="1"/>
  <c r="D83" i="3" s="1"/>
  <c r="C201" i="1"/>
  <c r="B201"/>
  <c r="N200"/>
  <c r="N82" i="3" s="1"/>
  <c r="M200" i="1"/>
  <c r="M82" i="3" s="1"/>
  <c r="L200" i="1"/>
  <c r="L82" i="3" s="1"/>
  <c r="K200" i="1"/>
  <c r="K82" i="3" s="1"/>
  <c r="J200" i="1"/>
  <c r="J82" i="3" s="1"/>
  <c r="I200" i="1"/>
  <c r="I82" i="3" s="1"/>
  <c r="H200" i="1"/>
  <c r="H82" i="3" s="1"/>
  <c r="G200" i="1"/>
  <c r="F200"/>
  <c r="E200"/>
  <c r="E82" i="3" s="1"/>
  <c r="D200" i="1"/>
  <c r="D82" i="3" s="1"/>
  <c r="C200" i="1"/>
  <c r="C82" i="3" s="1"/>
  <c r="B200" i="1"/>
  <c r="B82" i="3" s="1"/>
  <c r="N199" i="1"/>
  <c r="M199"/>
  <c r="M81" i="3" s="1"/>
  <c r="L199" i="1"/>
  <c r="L81" i="3" s="1"/>
  <c r="K199" i="1"/>
  <c r="J199"/>
  <c r="J81" i="3" s="1"/>
  <c r="I199" i="1"/>
  <c r="I81" i="3" s="1"/>
  <c r="H199" i="1"/>
  <c r="H81" i="3" s="1"/>
  <c r="G199" i="1"/>
  <c r="F199"/>
  <c r="E199"/>
  <c r="D199"/>
  <c r="C199"/>
  <c r="C81" i="3" s="1"/>
  <c r="B199" i="1"/>
  <c r="N198"/>
  <c r="M198"/>
  <c r="L198"/>
  <c r="L80" i="3" s="1"/>
  <c r="K198" i="1"/>
  <c r="K80" i="3" s="1"/>
  <c r="J198" i="1"/>
  <c r="J80" i="3" s="1"/>
  <c r="I198" i="1"/>
  <c r="I80" i="3" s="1"/>
  <c r="H198" i="1"/>
  <c r="G198"/>
  <c r="F198"/>
  <c r="E198"/>
  <c r="E80" i="3" s="1"/>
  <c r="D198" i="1"/>
  <c r="C198"/>
  <c r="C80" i="3" s="1"/>
  <c r="B198" i="1"/>
  <c r="B80" i="3" s="1"/>
  <c r="N197" i="1"/>
  <c r="M197"/>
  <c r="L197"/>
  <c r="K197"/>
  <c r="K79" i="3" s="1"/>
  <c r="J197" i="1"/>
  <c r="J79" i="3" s="1"/>
  <c r="I197" i="1"/>
  <c r="I79" i="3" s="1"/>
  <c r="H197" i="1"/>
  <c r="G197"/>
  <c r="F197"/>
  <c r="E197"/>
  <c r="D197"/>
  <c r="D79" i="3" s="1"/>
  <c r="C197" i="1"/>
  <c r="C79" i="3" s="1"/>
  <c r="B197" i="1"/>
  <c r="B79" i="3" s="1"/>
  <c r="N196" i="1"/>
  <c r="N78" i="3" s="1"/>
  <c r="M196" i="1"/>
  <c r="L196"/>
  <c r="K196"/>
  <c r="J196"/>
  <c r="J78" i="3" s="1"/>
  <c r="I196" i="1"/>
  <c r="I78" i="3" s="1"/>
  <c r="H196" i="1"/>
  <c r="G196"/>
  <c r="F196"/>
  <c r="E196"/>
  <c r="D196"/>
  <c r="C196"/>
  <c r="B196"/>
  <c r="N195"/>
  <c r="N77" i="3" s="1"/>
  <c r="M195" i="1"/>
  <c r="M77" i="3" s="1"/>
  <c r="L195" i="1"/>
  <c r="L77" i="3" s="1"/>
  <c r="K195" i="1"/>
  <c r="K77" i="3" s="1"/>
  <c r="J195" i="1"/>
  <c r="J77" i="3" s="1"/>
  <c r="I195" i="1"/>
  <c r="I77" i="3" s="1"/>
  <c r="H195" i="1"/>
  <c r="H77" i="3" s="1"/>
  <c r="G195" i="1"/>
  <c r="F195"/>
  <c r="F77" i="3" s="1"/>
  <c r="E195" i="1"/>
  <c r="E77" i="3" s="1"/>
  <c r="D195" i="1"/>
  <c r="C195"/>
  <c r="C77" i="3" s="1"/>
  <c r="B195" i="1"/>
  <c r="B77" i="3" s="1"/>
  <c r="N194" i="1"/>
  <c r="M194"/>
  <c r="L194"/>
  <c r="K194"/>
  <c r="J194"/>
  <c r="J76" i="3" s="1"/>
  <c r="I194" i="1"/>
  <c r="I76" i="3" s="1"/>
  <c r="H194" i="1"/>
  <c r="H76" i="3" s="1"/>
  <c r="G194" i="1"/>
  <c r="F194"/>
  <c r="E194"/>
  <c r="D194"/>
  <c r="D76" i="3" s="1"/>
  <c r="C194" i="1"/>
  <c r="C76" i="3" s="1"/>
  <c r="B194" i="1"/>
  <c r="N186"/>
  <c r="N67" i="3" s="1"/>
  <c r="M186" i="1"/>
  <c r="M67" i="3" s="1"/>
  <c r="L186" i="1"/>
  <c r="L67" i="3" s="1"/>
  <c r="K186" i="1"/>
  <c r="K67" i="3" s="1"/>
  <c r="J186" i="1"/>
  <c r="J67" i="3" s="1"/>
  <c r="I186" i="1"/>
  <c r="I67" i="3" s="1"/>
  <c r="H186" i="1"/>
  <c r="H67" i="3" s="1"/>
  <c r="G186" i="1"/>
  <c r="F186"/>
  <c r="F67" i="3" s="1"/>
  <c r="E186" i="1"/>
  <c r="E67" i="3" s="1"/>
  <c r="D186" i="1"/>
  <c r="D67" i="3" s="1"/>
  <c r="C186" i="1"/>
  <c r="C67" i="3" s="1"/>
  <c r="B186" i="1"/>
  <c r="B67" i="3" s="1"/>
  <c r="N185" i="1"/>
  <c r="N66" i="3" s="1"/>
  <c r="M185" i="1"/>
  <c r="M66" i="3" s="1"/>
  <c r="L185" i="1"/>
  <c r="L66" i="3" s="1"/>
  <c r="K185" i="1"/>
  <c r="K66" i="3" s="1"/>
  <c r="J185" i="1"/>
  <c r="J66" i="3" s="1"/>
  <c r="I185" i="1"/>
  <c r="I66" i="3" s="1"/>
  <c r="H185" i="1"/>
  <c r="H66" i="3" s="1"/>
  <c r="G185" i="1"/>
  <c r="F185"/>
  <c r="F66" i="3" s="1"/>
  <c r="E185" i="1"/>
  <c r="E66" i="3" s="1"/>
  <c r="D185" i="1"/>
  <c r="D66" i="3" s="1"/>
  <c r="C185" i="1"/>
  <c r="C66" i="3" s="1"/>
  <c r="B185" i="1"/>
  <c r="B66" i="3" s="1"/>
  <c r="N184" i="1"/>
  <c r="N65" i="3" s="1"/>
  <c r="M184" i="1"/>
  <c r="M65" i="3" s="1"/>
  <c r="L184" i="1"/>
  <c r="L65" i="3" s="1"/>
  <c r="K184" i="1"/>
  <c r="K65" i="3" s="1"/>
  <c r="J184" i="1"/>
  <c r="J65" i="3" s="1"/>
  <c r="I184" i="1"/>
  <c r="I65" i="3" s="1"/>
  <c r="H184" i="1"/>
  <c r="H65" i="3" s="1"/>
  <c r="G184" i="1"/>
  <c r="F184"/>
  <c r="F65" i="3" s="1"/>
  <c r="E184" i="1"/>
  <c r="E65" i="3" s="1"/>
  <c r="D184" i="1"/>
  <c r="D65" i="3" s="1"/>
  <c r="C184" i="1"/>
  <c r="C65" i="3" s="1"/>
  <c r="B184" i="1"/>
  <c r="N183"/>
  <c r="M183"/>
  <c r="M64" i="3" s="1"/>
  <c r="L183" i="1"/>
  <c r="L64" i="3" s="1"/>
  <c r="K183" i="1"/>
  <c r="K64" i="3" s="1"/>
  <c r="J183" i="1"/>
  <c r="J64" i="3" s="1"/>
  <c r="I183" i="1"/>
  <c r="I64" i="3" s="1"/>
  <c r="H183" i="1"/>
  <c r="H64" i="3" s="1"/>
  <c r="G183" i="1"/>
  <c r="F183"/>
  <c r="F64" i="3" s="1"/>
  <c r="E183" i="1"/>
  <c r="E64" i="3" s="1"/>
  <c r="D183" i="1"/>
  <c r="D64" i="3" s="1"/>
  <c r="C183" i="1"/>
  <c r="B183"/>
  <c r="N182"/>
  <c r="M182"/>
  <c r="M63" i="3" s="1"/>
  <c r="L182" i="1"/>
  <c r="L63" i="3" s="1"/>
  <c r="K182" i="1"/>
  <c r="K63" i="3" s="1"/>
  <c r="J182" i="1"/>
  <c r="J63" i="3" s="1"/>
  <c r="I182" i="1"/>
  <c r="I63" i="3" s="1"/>
  <c r="H182" i="1"/>
  <c r="H63" i="3" s="1"/>
  <c r="G182" i="1"/>
  <c r="F182"/>
  <c r="F63" i="3" s="1"/>
  <c r="E182" i="1"/>
  <c r="E63" i="3" s="1"/>
  <c r="D182" i="1"/>
  <c r="D63" i="3" s="1"/>
  <c r="C182" i="1"/>
  <c r="B182"/>
  <c r="N181"/>
  <c r="N62" i="3" s="1"/>
  <c r="M181" i="1"/>
  <c r="M62" i="3" s="1"/>
  <c r="L181" i="1"/>
  <c r="L62" i="3" s="1"/>
  <c r="K181" i="1"/>
  <c r="K62" i="3" s="1"/>
  <c r="J181" i="1"/>
  <c r="J62" i="3" s="1"/>
  <c r="I181" i="1"/>
  <c r="I62" i="3" s="1"/>
  <c r="H181" i="1"/>
  <c r="H62" i="3" s="1"/>
  <c r="G181" i="1"/>
  <c r="F181"/>
  <c r="F62" i="3" s="1"/>
  <c r="E181" i="1"/>
  <c r="E62" i="3" s="1"/>
  <c r="D181" i="1"/>
  <c r="D62" i="3" s="1"/>
  <c r="C181" i="1"/>
  <c r="B181"/>
  <c r="N180"/>
  <c r="N61" i="3" s="1"/>
  <c r="M180" i="1"/>
  <c r="M61" i="3" s="1"/>
  <c r="L180" i="1"/>
  <c r="L61" i="3" s="1"/>
  <c r="K180" i="1"/>
  <c r="K61" i="3" s="1"/>
  <c r="J180" i="1"/>
  <c r="J61" i="3" s="1"/>
  <c r="I180" i="1"/>
  <c r="I61" i="3" s="1"/>
  <c r="H180" i="1"/>
  <c r="H61" i="3" s="1"/>
  <c r="G180" i="1"/>
  <c r="F180"/>
  <c r="F61" i="3" s="1"/>
  <c r="E180" i="1"/>
  <c r="E61" i="3" s="1"/>
  <c r="D180" i="1"/>
  <c r="D61" i="3" s="1"/>
  <c r="C180" i="1"/>
  <c r="B180"/>
  <c r="B61" i="3" s="1"/>
  <c r="N179" i="1"/>
  <c r="M179"/>
  <c r="M60" i="3" s="1"/>
  <c r="L179" i="1"/>
  <c r="L60" i="3" s="1"/>
  <c r="K179" i="1"/>
  <c r="K60" i="3" s="1"/>
  <c r="J179" i="1"/>
  <c r="J60" i="3" s="1"/>
  <c r="I179" i="1"/>
  <c r="I60" i="3" s="1"/>
  <c r="H179" i="1"/>
  <c r="H60" i="3" s="1"/>
  <c r="G179" i="1"/>
  <c r="F179"/>
  <c r="F60" i="3" s="1"/>
  <c r="E179" i="1"/>
  <c r="E60" i="3" s="1"/>
  <c r="D179" i="1"/>
  <c r="D60" i="3" s="1"/>
  <c r="C179" i="1"/>
  <c r="B179"/>
  <c r="N178"/>
  <c r="M178"/>
  <c r="M59" i="3" s="1"/>
  <c r="L178" i="1"/>
  <c r="L59" i="3" s="1"/>
  <c r="K178" i="1"/>
  <c r="K59" i="3" s="1"/>
  <c r="J178" i="1"/>
  <c r="J59" i="3" s="1"/>
  <c r="I178" i="1"/>
  <c r="I59" i="3" s="1"/>
  <c r="H178" i="1"/>
  <c r="H59" i="3" s="1"/>
  <c r="G178" i="1"/>
  <c r="F178"/>
  <c r="E178"/>
  <c r="E59" i="3" s="1"/>
  <c r="D178" i="1"/>
  <c r="D59" i="3" s="1"/>
  <c r="C178" i="1"/>
  <c r="C59" i="3" s="1"/>
  <c r="B178" i="1"/>
  <c r="N177"/>
  <c r="M177"/>
  <c r="M58" i="3" s="1"/>
  <c r="L177" i="1"/>
  <c r="L58" i="3" s="1"/>
  <c r="K177" i="1"/>
  <c r="K58" i="3" s="1"/>
  <c r="J177" i="1"/>
  <c r="J58" i="3" s="1"/>
  <c r="I177" i="1"/>
  <c r="I58" i="3" s="1"/>
  <c r="H177" i="1"/>
  <c r="H58" i="3" s="1"/>
  <c r="G177" i="1"/>
  <c r="F177"/>
  <c r="F58" i="3" s="1"/>
  <c r="E177" i="1"/>
  <c r="E58" i="3" s="1"/>
  <c r="D177" i="1"/>
  <c r="D58" i="3" s="1"/>
  <c r="C177" i="1"/>
  <c r="C58" i="3" s="1"/>
  <c r="B177" i="1"/>
  <c r="B58" i="3" s="1"/>
  <c r="N176" i="1"/>
  <c r="M176"/>
  <c r="M57" i="3" s="1"/>
  <c r="L176" i="1"/>
  <c r="L57" i="3" s="1"/>
  <c r="K176" i="1"/>
  <c r="K57" i="3" s="1"/>
  <c r="J176" i="1"/>
  <c r="J57" i="3" s="1"/>
  <c r="I176" i="1"/>
  <c r="I57" i="3" s="1"/>
  <c r="H176" i="1"/>
  <c r="H57" i="3" s="1"/>
  <c r="G176" i="1"/>
  <c r="F176"/>
  <c r="F57" i="3" s="1"/>
  <c r="E176" i="1"/>
  <c r="E57" i="3" s="1"/>
  <c r="D176" i="1"/>
  <c r="D57" i="3" s="1"/>
  <c r="C176" i="1"/>
  <c r="C57" i="3" s="1"/>
  <c r="B176" i="1"/>
  <c r="B57" i="3" s="1"/>
  <c r="N175" i="1"/>
  <c r="M175"/>
  <c r="M56" i="3" s="1"/>
  <c r="L175" i="1"/>
  <c r="L56" i="3" s="1"/>
  <c r="K175" i="1"/>
  <c r="K56" i="3" s="1"/>
  <c r="J175" i="1"/>
  <c r="J56" i="3" s="1"/>
  <c r="I175" i="1"/>
  <c r="I56" i="3" s="1"/>
  <c r="H175" i="1"/>
  <c r="H56" i="3" s="1"/>
  <c r="G175" i="1"/>
  <c r="F175"/>
  <c r="F56" i="3" s="1"/>
  <c r="E175" i="1"/>
  <c r="E56" i="3" s="1"/>
  <c r="D175" i="1"/>
  <c r="D56" i="3" s="1"/>
  <c r="C175" i="1"/>
  <c r="C56" i="3" s="1"/>
  <c r="B175" i="1"/>
  <c r="N174"/>
  <c r="M174"/>
  <c r="M55" i="3" s="1"/>
  <c r="L174" i="1"/>
  <c r="L55" i="3" s="1"/>
  <c r="K174" i="1"/>
  <c r="K55" i="3" s="1"/>
  <c r="J174" i="1"/>
  <c r="J55" i="3" s="1"/>
  <c r="I174" i="1"/>
  <c r="I55" i="3" s="1"/>
  <c r="H174" i="1"/>
  <c r="H55" i="3" s="1"/>
  <c r="G174" i="1"/>
  <c r="F174"/>
  <c r="F55" i="3" s="1"/>
  <c r="E174" i="1"/>
  <c r="E55" i="3" s="1"/>
  <c r="D174" i="1"/>
  <c r="D55" i="3" s="1"/>
  <c r="C174" i="1"/>
  <c r="C55" i="3" s="1"/>
  <c r="B174" i="1"/>
  <c r="N173"/>
  <c r="M173"/>
  <c r="M54" i="3" s="1"/>
  <c r="L173" i="1"/>
  <c r="L54" i="3" s="1"/>
  <c r="K173" i="1"/>
  <c r="K54" i="3" s="1"/>
  <c r="J173" i="1"/>
  <c r="J54" i="3" s="1"/>
  <c r="I173" i="1"/>
  <c r="I54" i="3" s="1"/>
  <c r="H173" i="1"/>
  <c r="H54" i="3" s="1"/>
  <c r="G173" i="1"/>
  <c r="F173"/>
  <c r="F54" i="3" s="1"/>
  <c r="E173" i="1"/>
  <c r="E54" i="3" s="1"/>
  <c r="D173" i="1"/>
  <c r="D54" i="3" s="1"/>
  <c r="C173" i="1"/>
  <c r="C54" i="3" s="1"/>
  <c r="B173" i="1"/>
  <c r="N172"/>
  <c r="M172"/>
  <c r="M53" i="3" s="1"/>
  <c r="L172" i="1"/>
  <c r="L53" i="3" s="1"/>
  <c r="K172" i="1"/>
  <c r="J172"/>
  <c r="J53" i="3" s="1"/>
  <c r="I172" i="1"/>
  <c r="I53" i="3" s="1"/>
  <c r="H172" i="1"/>
  <c r="H53" i="3" s="1"/>
  <c r="G172" i="1"/>
  <c r="F172"/>
  <c r="F53" i="3" s="1"/>
  <c r="E172" i="1"/>
  <c r="E53" i="3" s="1"/>
  <c r="D172" i="1"/>
  <c r="D53" i="3" s="1"/>
  <c r="C172" i="1"/>
  <c r="B172"/>
  <c r="N171"/>
  <c r="M171"/>
  <c r="M52" i="3" s="1"/>
  <c r="L171" i="1"/>
  <c r="L52" i="3" s="1"/>
  <c r="K171" i="1"/>
  <c r="J171"/>
  <c r="J52" i="3" s="1"/>
  <c r="I171" i="1"/>
  <c r="I52" i="3" s="1"/>
  <c r="H171" i="1"/>
  <c r="H52" i="3" s="1"/>
  <c r="G171" i="1"/>
  <c r="F171"/>
  <c r="F52" i="3" s="1"/>
  <c r="E171" i="1"/>
  <c r="E52" i="3" s="1"/>
  <c r="D171" i="1"/>
  <c r="D52" i="3" s="1"/>
  <c r="C171" i="1"/>
  <c r="B171"/>
  <c r="N170"/>
  <c r="N51" i="3" s="1"/>
  <c r="M170" i="1"/>
  <c r="M51" i="3" s="1"/>
  <c r="L170" i="1"/>
  <c r="L51" i="3" s="1"/>
  <c r="K170" i="1"/>
  <c r="J170"/>
  <c r="J51" i="3" s="1"/>
  <c r="I170" i="1"/>
  <c r="I51" i="3" s="1"/>
  <c r="H170" i="1"/>
  <c r="G170"/>
  <c r="F170"/>
  <c r="F51" i="3" s="1"/>
  <c r="E170" i="1"/>
  <c r="E51" i="3" s="1"/>
  <c r="D170" i="1"/>
  <c r="D51" i="3" s="1"/>
  <c r="C170" i="1"/>
  <c r="C51" i="3" s="1"/>
  <c r="B170" i="1"/>
  <c r="B51" i="3" s="1"/>
  <c r="N169" i="1"/>
  <c r="M169"/>
  <c r="L169"/>
  <c r="K169"/>
  <c r="J169"/>
  <c r="J50" i="3" s="1"/>
  <c r="I169" i="1"/>
  <c r="I50" i="3" s="1"/>
  <c r="H169" i="1"/>
  <c r="G169"/>
  <c r="F169"/>
  <c r="E169"/>
  <c r="E50" i="3" s="1"/>
  <c r="D169" i="1"/>
  <c r="D50" i="3" s="1"/>
  <c r="C169" i="1"/>
  <c r="B169"/>
  <c r="N168"/>
  <c r="N49" i="3" s="1"/>
  <c r="M168" i="1"/>
  <c r="M49" i="3" s="1"/>
  <c r="L168" i="1"/>
  <c r="L49" i="3" s="1"/>
  <c r="K168" i="1"/>
  <c r="J168"/>
  <c r="J49" i="3" s="1"/>
  <c r="I168" i="1"/>
  <c r="H168"/>
  <c r="G168"/>
  <c r="F168"/>
  <c r="F49" i="3" s="1"/>
  <c r="E168" i="1"/>
  <c r="D168"/>
  <c r="D49" i="3" s="1"/>
  <c r="C168" i="1"/>
  <c r="B168"/>
  <c r="N167"/>
  <c r="M167"/>
  <c r="M48" i="3" s="1"/>
  <c r="L167" i="1"/>
  <c r="K167"/>
  <c r="J167"/>
  <c r="J48" i="3" s="1"/>
  <c r="I167" i="1"/>
  <c r="I48" i="3" s="1"/>
  <c r="H167" i="1"/>
  <c r="G167"/>
  <c r="F167"/>
  <c r="F48" i="3" s="1"/>
  <c r="E167" i="1"/>
  <c r="D167"/>
  <c r="C167"/>
  <c r="B167"/>
  <c r="B48" i="3" s="1"/>
  <c r="N166" i="1"/>
  <c r="M166"/>
  <c r="M47" i="3" s="1"/>
  <c r="L166" i="1"/>
  <c r="K166"/>
  <c r="J166"/>
  <c r="J47" i="3" s="1"/>
  <c r="I166" i="1"/>
  <c r="H166"/>
  <c r="G166"/>
  <c r="F166"/>
  <c r="F47" i="3" s="1"/>
  <c r="E166" i="1"/>
  <c r="D166"/>
  <c r="D47" i="3" s="1"/>
  <c r="C166" i="1"/>
  <c r="B166"/>
  <c r="N165"/>
  <c r="N46" i="3" s="1"/>
  <c r="M165" i="1"/>
  <c r="M46" i="3" s="1"/>
  <c r="L165" i="1"/>
  <c r="K165"/>
  <c r="J165"/>
  <c r="J46" i="3" s="1"/>
  <c r="I165" i="1"/>
  <c r="I46" i="3" s="1"/>
  <c r="H165" i="1"/>
  <c r="G165"/>
  <c r="F165"/>
  <c r="F46" i="3" s="1"/>
  <c r="E165" i="1"/>
  <c r="E46" i="3" s="1"/>
  <c r="D165" i="1"/>
  <c r="D46" i="3" s="1"/>
  <c r="C165" i="1"/>
  <c r="C46" i="3" s="1"/>
  <c r="B165" i="1"/>
  <c r="B46" i="3" s="1"/>
  <c r="N164" i="1"/>
  <c r="M164"/>
  <c r="M45" i="3" s="1"/>
  <c r="L164" i="1"/>
  <c r="L45" i="3" s="1"/>
  <c r="K164" i="1"/>
  <c r="J164"/>
  <c r="J45" i="3" s="1"/>
  <c r="I164" i="1"/>
  <c r="I45" i="3" s="1"/>
  <c r="H164" i="1"/>
  <c r="G164"/>
  <c r="F164"/>
  <c r="F45" i="3" s="1"/>
  <c r="E164" i="1"/>
  <c r="D164"/>
  <c r="C164"/>
  <c r="B164"/>
  <c r="N157"/>
  <c r="N38" i="3" s="1"/>
  <c r="M157" i="1"/>
  <c r="M38" i="3" s="1"/>
  <c r="L157" i="1"/>
  <c r="L38" i="3" s="1"/>
  <c r="K157" i="1"/>
  <c r="K38" i="3" s="1"/>
  <c r="J157" i="1"/>
  <c r="J38" i="3" s="1"/>
  <c r="I157" i="1"/>
  <c r="I38" i="3" s="1"/>
  <c r="H157" i="1"/>
  <c r="H38" i="3" s="1"/>
  <c r="G157" i="1"/>
  <c r="G38" i="3" s="1"/>
  <c r="F157" i="1"/>
  <c r="F38" i="3" s="1"/>
  <c r="E157" i="1"/>
  <c r="E38" i="3" s="1"/>
  <c r="D157" i="1"/>
  <c r="D38" i="3" s="1"/>
  <c r="C157" i="1"/>
  <c r="C38" i="3" s="1"/>
  <c r="B157" i="1"/>
  <c r="B38" i="3" s="1"/>
  <c r="N156" i="1"/>
  <c r="M156"/>
  <c r="M37" i="3" s="1"/>
  <c r="L156" i="1"/>
  <c r="L37" i="3" s="1"/>
  <c r="K156" i="1"/>
  <c r="K37" i="3" s="1"/>
  <c r="J156" i="1"/>
  <c r="J37" i="3" s="1"/>
  <c r="I156" i="1"/>
  <c r="I37" i="3" s="1"/>
  <c r="H156" i="1"/>
  <c r="H37" i="3" s="1"/>
  <c r="G156" i="1"/>
  <c r="G37" i="3" s="1"/>
  <c r="F156" i="1"/>
  <c r="F37" i="3" s="1"/>
  <c r="E156" i="1"/>
  <c r="E37" i="3" s="1"/>
  <c r="D156" i="1"/>
  <c r="D37" i="3" s="1"/>
  <c r="C156" i="1"/>
  <c r="C37" i="3" s="1"/>
  <c r="B156" i="1"/>
  <c r="B37" i="3" s="1"/>
  <c r="N155" i="1"/>
  <c r="M155"/>
  <c r="M36" i="3" s="1"/>
  <c r="L155" i="1"/>
  <c r="L36" i="3" s="1"/>
  <c r="K155" i="1"/>
  <c r="K36" i="3" s="1"/>
  <c r="J155" i="1"/>
  <c r="J36" i="3" s="1"/>
  <c r="I155" i="1"/>
  <c r="I36" i="3" s="1"/>
  <c r="H155" i="1"/>
  <c r="H36" i="3" s="1"/>
  <c r="G155" i="1"/>
  <c r="G36" i="3" s="1"/>
  <c r="F155" i="1"/>
  <c r="F36" i="3" s="1"/>
  <c r="E155" i="1"/>
  <c r="E36" i="3" s="1"/>
  <c r="D155" i="1"/>
  <c r="D36" i="3" s="1"/>
  <c r="C155" i="1"/>
  <c r="C36" i="3" s="1"/>
  <c r="B155" i="1"/>
  <c r="B36" i="3" s="1"/>
  <c r="N154" i="1"/>
  <c r="M154"/>
  <c r="M35" i="3" s="1"/>
  <c r="L154" i="1"/>
  <c r="L35" i="3" s="1"/>
  <c r="K154" i="1"/>
  <c r="K35" i="3" s="1"/>
  <c r="J154" i="1"/>
  <c r="J35" i="3" s="1"/>
  <c r="I154" i="1"/>
  <c r="I35" i="3" s="1"/>
  <c r="H154" i="1"/>
  <c r="H35" i="3" s="1"/>
  <c r="G154" i="1"/>
  <c r="G35" i="3" s="1"/>
  <c r="F154" i="1"/>
  <c r="F35" i="3" s="1"/>
  <c r="E154" i="1"/>
  <c r="E35" i="3" s="1"/>
  <c r="D154" i="1"/>
  <c r="D35" i="3" s="1"/>
  <c r="C154" i="1"/>
  <c r="C35" i="3" s="1"/>
  <c r="B154" i="1"/>
  <c r="N153"/>
  <c r="M153"/>
  <c r="M34" i="3" s="1"/>
  <c r="L153" i="1"/>
  <c r="K153"/>
  <c r="J153"/>
  <c r="J34" i="3" s="1"/>
  <c r="I153" i="1"/>
  <c r="I34" i="3" s="1"/>
  <c r="H153" i="1"/>
  <c r="H34" i="3" s="1"/>
  <c r="G153" i="1"/>
  <c r="G34" i="3" s="1"/>
  <c r="F153" i="1"/>
  <c r="F34" i="3" s="1"/>
  <c r="E153" i="1"/>
  <c r="E34" i="3" s="1"/>
  <c r="D153" i="1"/>
  <c r="D34" i="3" s="1"/>
  <c r="C153" i="1"/>
  <c r="C34" i="3" s="1"/>
  <c r="B153" i="1"/>
  <c r="N152"/>
  <c r="N33" i="3" s="1"/>
  <c r="M152" i="1"/>
  <c r="M33" i="3" s="1"/>
  <c r="L152" i="1"/>
  <c r="L33" i="3" s="1"/>
  <c r="K152" i="1"/>
  <c r="J152"/>
  <c r="J33" i="3" s="1"/>
  <c r="I152" i="1"/>
  <c r="I33" i="3" s="1"/>
  <c r="H152" i="1"/>
  <c r="H33" i="3" s="1"/>
  <c r="G152" i="1"/>
  <c r="G33" i="3" s="1"/>
  <c r="F152" i="1"/>
  <c r="F33" i="3" s="1"/>
  <c r="E152" i="1"/>
  <c r="D152"/>
  <c r="D33" i="3" s="1"/>
  <c r="C152" i="1"/>
  <c r="C33" i="3" s="1"/>
  <c r="B152" i="1"/>
  <c r="B33" i="3" s="1"/>
  <c r="N151" i="1"/>
  <c r="N32" i="3" s="1"/>
  <c r="M151" i="1"/>
  <c r="M32" i="3" s="1"/>
  <c r="L151" i="1"/>
  <c r="L32" i="3" s="1"/>
  <c r="K151" i="1"/>
  <c r="K32" i="3" s="1"/>
  <c r="J151" i="1"/>
  <c r="J32" i="3" s="1"/>
  <c r="I151" i="1"/>
  <c r="I32" i="3" s="1"/>
  <c r="H151" i="1"/>
  <c r="H32" i="3" s="1"/>
  <c r="G151" i="1"/>
  <c r="G32" i="3" s="1"/>
  <c r="F151" i="1"/>
  <c r="F32" i="3" s="1"/>
  <c r="E151" i="1"/>
  <c r="E32" i="3" s="1"/>
  <c r="D151" i="1"/>
  <c r="D32" i="3" s="1"/>
  <c r="C151" i="1"/>
  <c r="C32" i="3" s="1"/>
  <c r="B151" i="1"/>
  <c r="B32" i="3" s="1"/>
  <c r="N150" i="1"/>
  <c r="M150"/>
  <c r="M31" i="3" s="1"/>
  <c r="L150" i="1"/>
  <c r="K150"/>
  <c r="J150"/>
  <c r="J31" i="3" s="1"/>
  <c r="I150" i="1"/>
  <c r="I31" i="3" s="1"/>
  <c r="H150" i="1"/>
  <c r="H31" i="3" s="1"/>
  <c r="G150" i="1"/>
  <c r="F150"/>
  <c r="F31" i="3" s="1"/>
  <c r="E150" i="1"/>
  <c r="E31" i="3" s="1"/>
  <c r="D150" i="1"/>
  <c r="D31" i="3" s="1"/>
  <c r="C150" i="1"/>
  <c r="C31" i="3" s="1"/>
  <c r="B150" i="1"/>
  <c r="N149"/>
  <c r="M149"/>
  <c r="M30" i="3" s="1"/>
  <c r="L149" i="1"/>
  <c r="L30" i="3" s="1"/>
  <c r="K149" i="1"/>
  <c r="K30" i="3" s="1"/>
  <c r="J149" i="1"/>
  <c r="J30" i="3" s="1"/>
  <c r="I149" i="1"/>
  <c r="I30" i="3" s="1"/>
  <c r="H149" i="1"/>
  <c r="H30" i="3" s="1"/>
  <c r="G149" i="1"/>
  <c r="G30" i="3" s="1"/>
  <c r="F149" i="1"/>
  <c r="F30" i="3" s="1"/>
  <c r="E149" i="1"/>
  <c r="E30" i="3" s="1"/>
  <c r="D149" i="1"/>
  <c r="C149"/>
  <c r="C30" i="3" s="1"/>
  <c r="B149" i="1"/>
  <c r="B30" i="3" s="1"/>
  <c r="N148" i="1"/>
  <c r="M148"/>
  <c r="M29" i="3" s="1"/>
  <c r="L148" i="1"/>
  <c r="K148"/>
  <c r="J148"/>
  <c r="I148"/>
  <c r="I29" i="3" s="1"/>
  <c r="H148" i="1"/>
  <c r="H29" i="3" s="1"/>
  <c r="G148" i="1"/>
  <c r="G29" i="3" s="1"/>
  <c r="F148" i="1"/>
  <c r="F29" i="3" s="1"/>
  <c r="E148" i="1"/>
  <c r="E29" i="3" s="1"/>
  <c r="D148" i="1"/>
  <c r="C148"/>
  <c r="C29" i="3" s="1"/>
  <c r="B148" i="1"/>
  <c r="B29" i="3" s="1"/>
  <c r="N147" i="1"/>
  <c r="N28" i="3" s="1"/>
  <c r="M147" i="1"/>
  <c r="M28" i="3" s="1"/>
  <c r="L147" i="1"/>
  <c r="L28" i="3" s="1"/>
  <c r="K147" i="1"/>
  <c r="K28" i="3" s="1"/>
  <c r="J147" i="1"/>
  <c r="J28" i="3" s="1"/>
  <c r="I147" i="1"/>
  <c r="I28" i="3" s="1"/>
  <c r="H147" i="1"/>
  <c r="H28" i="3" s="1"/>
  <c r="G147" i="1"/>
  <c r="G28" i="3" s="1"/>
  <c r="F147" i="1"/>
  <c r="F28" i="3" s="1"/>
  <c r="E147" i="1"/>
  <c r="E28" i="3" s="1"/>
  <c r="D147" i="1"/>
  <c r="D28" i="3" s="1"/>
  <c r="C147" i="1"/>
  <c r="C28" i="3" s="1"/>
  <c r="B147" i="1"/>
  <c r="B28" i="3" s="1"/>
  <c r="N146" i="1"/>
  <c r="N27" i="3" s="1"/>
  <c r="M146" i="1"/>
  <c r="M27" i="3" s="1"/>
  <c r="L146" i="1"/>
  <c r="L27" i="3" s="1"/>
  <c r="K146" i="1"/>
  <c r="K27" i="3" s="1"/>
  <c r="J146" i="1"/>
  <c r="J27" i="3" s="1"/>
  <c r="I146" i="1"/>
  <c r="I27" i="3" s="1"/>
  <c r="H146" i="1"/>
  <c r="H27" i="3" s="1"/>
  <c r="G146" i="1"/>
  <c r="G27" i="3" s="1"/>
  <c r="F146" i="1"/>
  <c r="F27" i="3" s="1"/>
  <c r="E146" i="1"/>
  <c r="E27" i="3" s="1"/>
  <c r="D146" i="1"/>
  <c r="D27" i="3" s="1"/>
  <c r="C146" i="1"/>
  <c r="C27" i="3" s="1"/>
  <c r="B146" i="1"/>
  <c r="B27" i="3" s="1"/>
  <c r="N145" i="1"/>
  <c r="M145"/>
  <c r="M26" i="3" s="1"/>
  <c r="L145" i="1"/>
  <c r="L26" i="3" s="1"/>
  <c r="K145" i="1"/>
  <c r="K26" i="3" s="1"/>
  <c r="J145" i="1"/>
  <c r="J26" i="3" s="1"/>
  <c r="I145" i="1"/>
  <c r="I26" i="3" s="1"/>
  <c r="H145" i="1"/>
  <c r="H26" i="3" s="1"/>
  <c r="G145" i="1"/>
  <c r="G26" i="3" s="1"/>
  <c r="F145" i="1"/>
  <c r="F26" i="3" s="1"/>
  <c r="E145" i="1"/>
  <c r="E26" i="3" s="1"/>
  <c r="D145" i="1"/>
  <c r="D26" i="3" s="1"/>
  <c r="C145" i="1"/>
  <c r="C26" i="3" s="1"/>
  <c r="B145" i="1"/>
  <c r="B26" i="3" s="1"/>
  <c r="N144" i="1"/>
  <c r="M144"/>
  <c r="M25" i="3" s="1"/>
  <c r="L144" i="1"/>
  <c r="L25" i="3" s="1"/>
  <c r="K144" i="1"/>
  <c r="K25" i="3" s="1"/>
  <c r="J144" i="1"/>
  <c r="J25" i="3" s="1"/>
  <c r="I144" i="1"/>
  <c r="I25" i="3" s="1"/>
  <c r="H144" i="1"/>
  <c r="H25" i="3" s="1"/>
  <c r="G144" i="1"/>
  <c r="G25" i="3" s="1"/>
  <c r="F144" i="1"/>
  <c r="F25" i="3" s="1"/>
  <c r="E144" i="1"/>
  <c r="E25" i="3" s="1"/>
  <c r="D144" i="1"/>
  <c r="D25" i="3" s="1"/>
  <c r="C144" i="1"/>
  <c r="C25" i="3" s="1"/>
  <c r="B144" i="1"/>
  <c r="N143"/>
  <c r="M143"/>
  <c r="M24" i="3" s="1"/>
  <c r="L143" i="1"/>
  <c r="K143"/>
  <c r="J143"/>
  <c r="J24" i="3" s="1"/>
  <c r="I143" i="1"/>
  <c r="I24" i="3" s="1"/>
  <c r="H143" i="1"/>
  <c r="H24" i="3" s="1"/>
  <c r="G143" i="1"/>
  <c r="G24" i="3" s="1"/>
  <c r="F143" i="1"/>
  <c r="F24" i="3" s="1"/>
  <c r="E143" i="1"/>
  <c r="E24" i="3" s="1"/>
  <c r="D143" i="1"/>
  <c r="C143"/>
  <c r="C24" i="3" s="1"/>
  <c r="B143" i="1"/>
  <c r="N142"/>
  <c r="N23" i="3" s="1"/>
  <c r="M142" i="1"/>
  <c r="M23" i="3" s="1"/>
  <c r="L142" i="1"/>
  <c r="K142"/>
  <c r="K23" i="3" s="1"/>
  <c r="J142" i="1"/>
  <c r="J23" i="3" s="1"/>
  <c r="I142" i="1"/>
  <c r="I23" i="3" s="1"/>
  <c r="H142" i="1"/>
  <c r="H23" i="3" s="1"/>
  <c r="G142" i="1"/>
  <c r="G23" i="3" s="1"/>
  <c r="F142" i="1"/>
  <c r="F23" i="3" s="1"/>
  <c r="E142" i="1"/>
  <c r="D142"/>
  <c r="D23" i="3" s="1"/>
  <c r="C142" i="1"/>
  <c r="C23" i="3" s="1"/>
  <c r="B142" i="1"/>
  <c r="N141"/>
  <c r="N22" i="3" s="1"/>
  <c r="M141" i="1"/>
  <c r="M22" i="3" s="1"/>
  <c r="L141" i="1"/>
  <c r="L22" i="3" s="1"/>
  <c r="K141" i="1"/>
  <c r="K22" i="3" s="1"/>
  <c r="J141" i="1"/>
  <c r="J22" i="3" s="1"/>
  <c r="I141" i="1"/>
  <c r="I22" i="3" s="1"/>
  <c r="H141" i="1"/>
  <c r="G141"/>
  <c r="G22" i="3" s="1"/>
  <c r="F141" i="1"/>
  <c r="F22" i="3" s="1"/>
  <c r="E141" i="1"/>
  <c r="E22" i="3" s="1"/>
  <c r="D141" i="1"/>
  <c r="C141"/>
  <c r="C22" i="3" s="1"/>
  <c r="B141" i="1"/>
  <c r="B22" i="3" s="1"/>
  <c r="N140" i="1"/>
  <c r="N21" i="3" s="1"/>
  <c r="M140" i="1"/>
  <c r="M21" i="3" s="1"/>
  <c r="L140" i="1"/>
  <c r="K140"/>
  <c r="K21" i="3" s="1"/>
  <c r="J140" i="1"/>
  <c r="I140"/>
  <c r="H140"/>
  <c r="G140"/>
  <c r="G21" i="3" s="1"/>
  <c r="F140" i="1"/>
  <c r="E140"/>
  <c r="E21" i="3" s="1"/>
  <c r="D140" i="1"/>
  <c r="C140"/>
  <c r="B140"/>
  <c r="N139"/>
  <c r="N20" i="3" s="1"/>
  <c r="M139" i="1"/>
  <c r="M20" i="3" s="1"/>
  <c r="L139" i="1"/>
  <c r="L20" i="3" s="1"/>
  <c r="K139" i="1"/>
  <c r="K20" i="3" s="1"/>
  <c r="J139" i="1"/>
  <c r="J20" i="3" s="1"/>
  <c r="I139" i="1"/>
  <c r="I20" i="3" s="1"/>
  <c r="H139" i="1"/>
  <c r="G139"/>
  <c r="G20" i="3" s="1"/>
  <c r="F139" i="1"/>
  <c r="F20" i="3" s="1"/>
  <c r="E139" i="1"/>
  <c r="E20" i="3" s="1"/>
  <c r="D139" i="1"/>
  <c r="C139"/>
  <c r="B139"/>
  <c r="B20" i="3" s="1"/>
  <c r="N138" i="1"/>
  <c r="M138"/>
  <c r="M19" i="3" s="1"/>
  <c r="L138" i="1"/>
  <c r="L19" i="3" s="1"/>
  <c r="K138" i="1"/>
  <c r="J138"/>
  <c r="J19" i="3" s="1"/>
  <c r="I138" i="1"/>
  <c r="I19" i="3" s="1"/>
  <c r="H138" i="1"/>
  <c r="G138"/>
  <c r="G19" i="3" s="1"/>
  <c r="F138" i="1"/>
  <c r="E138"/>
  <c r="E19" i="3" s="1"/>
  <c r="D138" i="1"/>
  <c r="C138"/>
  <c r="C19" i="3" s="1"/>
  <c r="B138" i="1"/>
  <c r="B19" i="3" s="1"/>
  <c r="N137" i="1"/>
  <c r="M137"/>
  <c r="M18" i="3" s="1"/>
  <c r="L137" i="1"/>
  <c r="K137"/>
  <c r="J137"/>
  <c r="I137"/>
  <c r="H137"/>
  <c r="G137"/>
  <c r="G18" i="3" s="1"/>
  <c r="F137" i="1"/>
  <c r="E137"/>
  <c r="E18" i="3" s="1"/>
  <c r="D137" i="1"/>
  <c r="C137"/>
  <c r="B137"/>
  <c r="N136"/>
  <c r="N17" i="3" s="1"/>
  <c r="M136" i="1"/>
  <c r="M17" i="3" s="1"/>
  <c r="L136" i="1"/>
  <c r="L17" i="3" s="1"/>
  <c r="K136" i="1"/>
  <c r="K17" i="3" s="1"/>
  <c r="J136" i="1"/>
  <c r="J17" i="3" s="1"/>
  <c r="I136" i="1"/>
  <c r="I17" i="3" s="1"/>
  <c r="H136" i="1"/>
  <c r="G136"/>
  <c r="F136"/>
  <c r="F17" i="3" s="1"/>
  <c r="E136" i="1"/>
  <c r="E17" i="3" s="1"/>
  <c r="D136" i="1"/>
  <c r="C136"/>
  <c r="C17" i="3" s="1"/>
  <c r="B136" i="1"/>
  <c r="B17" i="3" s="1"/>
  <c r="N135" i="1"/>
  <c r="M135"/>
  <c r="L135"/>
  <c r="K135"/>
  <c r="K16" i="3" s="1"/>
  <c r="J135" i="1"/>
  <c r="I135"/>
  <c r="I16" i="3" s="1"/>
  <c r="H135" i="1"/>
  <c r="G135"/>
  <c r="G16" i="3" s="1"/>
  <c r="F135" i="1"/>
  <c r="E135"/>
  <c r="E16" i="3" s="1"/>
  <c r="D135" i="1"/>
  <c r="D16" i="3" s="1"/>
  <c r="C135" i="1"/>
  <c r="B135"/>
  <c r="B16" i="3" s="1"/>
  <c r="Q120" i="1"/>
  <c r="Q116" i="2" s="1"/>
  <c r="P120" i="1"/>
  <c r="P116" i="2" s="1"/>
  <c r="O120" i="1"/>
  <c r="O116" i="2" s="1"/>
  <c r="N120" i="1"/>
  <c r="N116" i="2" s="1"/>
  <c r="M120" i="1"/>
  <c r="M116" i="2" s="1"/>
  <c r="L120" i="1"/>
  <c r="L116" i="2" s="1"/>
  <c r="K120" i="1"/>
  <c r="K116" i="2" s="1"/>
  <c r="J120" i="1"/>
  <c r="J116" i="2" s="1"/>
  <c r="I120" i="1"/>
  <c r="I116" i="2" s="1"/>
  <c r="H120" i="1"/>
  <c r="H116" i="2" s="1"/>
  <c r="G120" i="1"/>
  <c r="G116" i="2" s="1"/>
  <c r="F120" i="1"/>
  <c r="F116" i="2" s="1"/>
  <c r="E120" i="1"/>
  <c r="E116" i="2" s="1"/>
  <c r="D120" i="1"/>
  <c r="D116" i="2" s="1"/>
  <c r="C120" i="1"/>
  <c r="C116" i="2" s="1"/>
  <c r="B120" i="1"/>
  <c r="B116" i="2" s="1"/>
  <c r="Q119" i="1"/>
  <c r="Q115" i="2" s="1"/>
  <c r="P119" i="1"/>
  <c r="P115" i="2" s="1"/>
  <c r="O119" i="1"/>
  <c r="O115" i="2" s="1"/>
  <c r="N119" i="1"/>
  <c r="N115" i="2" s="1"/>
  <c r="M119" i="1"/>
  <c r="M115" i="2" s="1"/>
  <c r="L119" i="1"/>
  <c r="L115" i="2" s="1"/>
  <c r="K119" i="1"/>
  <c r="K115" i="2" s="1"/>
  <c r="J119" i="1"/>
  <c r="J115" i="2" s="1"/>
  <c r="I119" i="1"/>
  <c r="I115" i="2" s="1"/>
  <c r="H119" i="1"/>
  <c r="H115" i="2" s="1"/>
  <c r="G119" i="1"/>
  <c r="G115" i="2" s="1"/>
  <c r="F119" i="1"/>
  <c r="F115" i="2" s="1"/>
  <c r="E119" i="1"/>
  <c r="E115" i="2" s="1"/>
  <c r="D119" i="1"/>
  <c r="D115" i="2" s="1"/>
  <c r="C119" i="1"/>
  <c r="C115" i="2" s="1"/>
  <c r="B119" i="1"/>
  <c r="B115" i="2" s="1"/>
  <c r="Q118" i="1"/>
  <c r="Q114" i="2" s="1"/>
  <c r="P118" i="1"/>
  <c r="P114" i="2" s="1"/>
  <c r="O118" i="1"/>
  <c r="O114" i="2" s="1"/>
  <c r="N118" i="1"/>
  <c r="N114" i="2" s="1"/>
  <c r="M118" i="1"/>
  <c r="M114" i="2" s="1"/>
  <c r="L118" i="1"/>
  <c r="L114" i="2" s="1"/>
  <c r="K118" i="1"/>
  <c r="K114" i="2" s="1"/>
  <c r="J118" i="1"/>
  <c r="J114" i="2" s="1"/>
  <c r="I118" i="1"/>
  <c r="I114" i="2" s="1"/>
  <c r="H118" i="1"/>
  <c r="H114" i="2" s="1"/>
  <c r="G118" i="1"/>
  <c r="G114" i="2" s="1"/>
  <c r="F118" i="1"/>
  <c r="F114" i="2" s="1"/>
  <c r="E118" i="1"/>
  <c r="E114" i="2" s="1"/>
  <c r="D118" i="1"/>
  <c r="D114" i="2" s="1"/>
  <c r="C118" i="1"/>
  <c r="C114" i="2" s="1"/>
  <c r="B118" i="1"/>
  <c r="B114" i="2" s="1"/>
  <c r="Q117" i="1"/>
  <c r="Q113" i="2" s="1"/>
  <c r="P117" i="1"/>
  <c r="P113" i="2" s="1"/>
  <c r="O117" i="1"/>
  <c r="O113" i="2" s="1"/>
  <c r="N117" i="1"/>
  <c r="N113" i="2" s="1"/>
  <c r="M117" i="1"/>
  <c r="M113" i="2" s="1"/>
  <c r="L117" i="1"/>
  <c r="L113" i="2" s="1"/>
  <c r="K117" i="1"/>
  <c r="K113" i="2" s="1"/>
  <c r="J117" i="1"/>
  <c r="J113" i="2" s="1"/>
  <c r="I117" i="1"/>
  <c r="I113" i="2" s="1"/>
  <c r="H117" i="1"/>
  <c r="H113" i="2" s="1"/>
  <c r="G117" i="1"/>
  <c r="G113" i="2" s="1"/>
  <c r="F117" i="1"/>
  <c r="F113" i="2" s="1"/>
  <c r="E117" i="1"/>
  <c r="E113" i="2" s="1"/>
  <c r="D117" i="1"/>
  <c r="D113" i="2" s="1"/>
  <c r="C117" i="1"/>
  <c r="C113" i="2" s="1"/>
  <c r="B117" i="1"/>
  <c r="B113" i="2" s="1"/>
  <c r="Q116" i="1"/>
  <c r="Q112" i="2" s="1"/>
  <c r="P116" i="1"/>
  <c r="P112" i="2" s="1"/>
  <c r="O116" i="1"/>
  <c r="O112" i="2" s="1"/>
  <c r="N116" i="1"/>
  <c r="N112" i="2" s="1"/>
  <c r="M116" i="1"/>
  <c r="M112" i="2" s="1"/>
  <c r="L116" i="1"/>
  <c r="L112" i="2" s="1"/>
  <c r="K116" i="1"/>
  <c r="K112" i="2" s="1"/>
  <c r="J116" i="1"/>
  <c r="I116"/>
  <c r="I112" i="2" s="1"/>
  <c r="H116" i="1"/>
  <c r="H112" i="2" s="1"/>
  <c r="G116" i="1"/>
  <c r="G112" i="2" s="1"/>
  <c r="F116" i="1"/>
  <c r="F112" i="2" s="1"/>
  <c r="E116" i="1"/>
  <c r="E112" i="2" s="1"/>
  <c r="D116" i="1"/>
  <c r="D112" i="2" s="1"/>
  <c r="C116" i="1"/>
  <c r="C112" i="2" s="1"/>
  <c r="B116" i="1"/>
  <c r="B112" i="2" s="1"/>
  <c r="Q115" i="1"/>
  <c r="Q111" i="2" s="1"/>
  <c r="P115" i="1"/>
  <c r="P111" i="2" s="1"/>
  <c r="O115" i="1"/>
  <c r="O111" i="2" s="1"/>
  <c r="N115" i="1"/>
  <c r="N111" i="2" s="1"/>
  <c r="M115" i="1"/>
  <c r="M111" i="2" s="1"/>
  <c r="L115" i="1"/>
  <c r="L111" i="2" s="1"/>
  <c r="K115" i="1"/>
  <c r="K111" i="2" s="1"/>
  <c r="J115" i="1"/>
  <c r="J111" i="2" s="1"/>
  <c r="I115" i="1"/>
  <c r="I111" i="2" s="1"/>
  <c r="H115" i="1"/>
  <c r="H111" i="2" s="1"/>
  <c r="G115" i="1"/>
  <c r="G111" i="2" s="1"/>
  <c r="F115" i="1"/>
  <c r="F111" i="2" s="1"/>
  <c r="E115" i="1"/>
  <c r="E111" i="2" s="1"/>
  <c r="D115" i="1"/>
  <c r="D111" i="2" s="1"/>
  <c r="C115" i="1"/>
  <c r="C111" i="2" s="1"/>
  <c r="B115" i="1"/>
  <c r="B111" i="2" s="1"/>
  <c r="Q114" i="1"/>
  <c r="Q110" i="2" s="1"/>
  <c r="P114" i="1"/>
  <c r="P110" i="2" s="1"/>
  <c r="O114" i="1"/>
  <c r="O110" i="2" s="1"/>
  <c r="N114" i="1"/>
  <c r="N110" i="2" s="1"/>
  <c r="M114" i="1"/>
  <c r="M110" i="2" s="1"/>
  <c r="L114" i="1"/>
  <c r="L110" i="2" s="1"/>
  <c r="K114" i="1"/>
  <c r="K110" i="2" s="1"/>
  <c r="J114" i="1"/>
  <c r="J110" i="2" s="1"/>
  <c r="I114" i="1"/>
  <c r="I110" i="2" s="1"/>
  <c r="H114" i="1"/>
  <c r="H110" i="2" s="1"/>
  <c r="G114" i="1"/>
  <c r="G110" i="2" s="1"/>
  <c r="F114" i="1"/>
  <c r="F110" i="2" s="1"/>
  <c r="E114" i="1"/>
  <c r="E110" i="2" s="1"/>
  <c r="D114" i="1"/>
  <c r="D110" i="2" s="1"/>
  <c r="C114" i="1"/>
  <c r="C110" i="2" s="1"/>
  <c r="B114" i="1"/>
  <c r="B110" i="2" s="1"/>
  <c r="Q113" i="1"/>
  <c r="Q109" i="2" s="1"/>
  <c r="P113" i="1"/>
  <c r="P109" i="2" s="1"/>
  <c r="O113" i="1"/>
  <c r="O109" i="2" s="1"/>
  <c r="N113" i="1"/>
  <c r="N109" i="2" s="1"/>
  <c r="M113" i="1"/>
  <c r="M109" i="2" s="1"/>
  <c r="L113" i="1"/>
  <c r="L109" i="2" s="1"/>
  <c r="K113" i="1"/>
  <c r="K109" i="2" s="1"/>
  <c r="J113" i="1"/>
  <c r="I113"/>
  <c r="I109" i="2" s="1"/>
  <c r="H113" i="1"/>
  <c r="H109" i="2" s="1"/>
  <c r="G113" i="1"/>
  <c r="G109" i="2" s="1"/>
  <c r="F113" i="1"/>
  <c r="F109" i="2" s="1"/>
  <c r="E113" i="1"/>
  <c r="E109" i="2" s="1"/>
  <c r="D113" i="1"/>
  <c r="D109" i="2" s="1"/>
  <c r="C113" i="1"/>
  <c r="C109" i="2" s="1"/>
  <c r="B113" i="1"/>
  <c r="B109" i="2" s="1"/>
  <c r="Q112" i="1"/>
  <c r="Q108" i="2" s="1"/>
  <c r="P112" i="1"/>
  <c r="P108" i="2" s="1"/>
  <c r="O112" i="1"/>
  <c r="O108" i="2" s="1"/>
  <c r="N112" i="1"/>
  <c r="N108" i="2" s="1"/>
  <c r="M112" i="1"/>
  <c r="M108" i="2" s="1"/>
  <c r="L112" i="1"/>
  <c r="L108" i="2" s="1"/>
  <c r="K112" i="1"/>
  <c r="K108" i="2" s="1"/>
  <c r="J112" i="1"/>
  <c r="I112"/>
  <c r="I108" i="2" s="1"/>
  <c r="H112" i="1"/>
  <c r="H108" i="2" s="1"/>
  <c r="G112" i="1"/>
  <c r="G108" i="2" s="1"/>
  <c r="F112" i="1"/>
  <c r="F108" i="2" s="1"/>
  <c r="E112" i="1"/>
  <c r="E108" i="2" s="1"/>
  <c r="D112" i="1"/>
  <c r="D108" i="2" s="1"/>
  <c r="C112" i="1"/>
  <c r="C108" i="2" s="1"/>
  <c r="B112" i="1"/>
  <c r="B108" i="2" s="1"/>
  <c r="Q111" i="1"/>
  <c r="Q107" i="2" s="1"/>
  <c r="P111" i="1"/>
  <c r="P107" i="2" s="1"/>
  <c r="O111" i="1"/>
  <c r="O107" i="2" s="1"/>
  <c r="N111" i="1"/>
  <c r="N107" i="2" s="1"/>
  <c r="M111" i="1"/>
  <c r="M107" i="2" s="1"/>
  <c r="L111" i="1"/>
  <c r="L107" i="2" s="1"/>
  <c r="K111" i="1"/>
  <c r="K107" i="2" s="1"/>
  <c r="J111" i="1"/>
  <c r="J107" i="2" s="1"/>
  <c r="I111" i="1"/>
  <c r="I107" i="2" s="1"/>
  <c r="H111" i="1"/>
  <c r="H107" i="2" s="1"/>
  <c r="G111" i="1"/>
  <c r="G107" i="2" s="1"/>
  <c r="F111" i="1"/>
  <c r="F107" i="2" s="1"/>
  <c r="E111" i="1"/>
  <c r="E107" i="2" s="1"/>
  <c r="D111" i="1"/>
  <c r="D107" i="2" s="1"/>
  <c r="C111" i="1"/>
  <c r="C107" i="2" s="1"/>
  <c r="B111" i="1"/>
  <c r="B107" i="2" s="1"/>
  <c r="Q110" i="1"/>
  <c r="Q106" i="2" s="1"/>
  <c r="P110" i="1"/>
  <c r="P106" i="2" s="1"/>
  <c r="O110" i="1"/>
  <c r="N110"/>
  <c r="N106" i="2" s="1"/>
  <c r="M110" i="1"/>
  <c r="M106" i="2" s="1"/>
  <c r="L110" i="1"/>
  <c r="L106" i="2" s="1"/>
  <c r="K110" i="1"/>
  <c r="K106" i="2" s="1"/>
  <c r="J110" i="1"/>
  <c r="J106" i="2" s="1"/>
  <c r="I110" i="1"/>
  <c r="I106" i="2" s="1"/>
  <c r="H110" i="1"/>
  <c r="H106" i="2" s="1"/>
  <c r="G110" i="1"/>
  <c r="G106" i="2" s="1"/>
  <c r="F110" i="1"/>
  <c r="E110"/>
  <c r="E106" i="2" s="1"/>
  <c r="D110" i="1"/>
  <c r="C110"/>
  <c r="B110"/>
  <c r="B106" i="2" s="1"/>
  <c r="Q109" i="1"/>
  <c r="Q105" i="2" s="1"/>
  <c r="P109" i="1"/>
  <c r="P105" i="2" s="1"/>
  <c r="O109" i="1"/>
  <c r="O105" i="2" s="1"/>
  <c r="N109" i="1"/>
  <c r="N105" i="2" s="1"/>
  <c r="M109" i="1"/>
  <c r="M105" i="2" s="1"/>
  <c r="L109" i="1"/>
  <c r="L105" i="2" s="1"/>
  <c r="K109" i="1"/>
  <c r="K105" i="2" s="1"/>
  <c r="J109" i="1"/>
  <c r="J105" i="2" s="1"/>
  <c r="I109" i="1"/>
  <c r="I105" i="2" s="1"/>
  <c r="H109" i="1"/>
  <c r="H105" i="2" s="1"/>
  <c r="G109" i="1"/>
  <c r="G105" i="2" s="1"/>
  <c r="F109" i="1"/>
  <c r="F105" i="2" s="1"/>
  <c r="E109" i="1"/>
  <c r="E105" i="2" s="1"/>
  <c r="D109" i="1"/>
  <c r="C109"/>
  <c r="B109"/>
  <c r="B105" i="2" s="1"/>
  <c r="Q108" i="1"/>
  <c r="Q104" i="2" s="1"/>
  <c r="P108" i="1"/>
  <c r="P104" i="2" s="1"/>
  <c r="O108" i="1"/>
  <c r="N108"/>
  <c r="N104" i="2" s="1"/>
  <c r="M108" i="1"/>
  <c r="M104" i="2" s="1"/>
  <c r="L108" i="1"/>
  <c r="L104" i="2" s="1"/>
  <c r="K108" i="1"/>
  <c r="K104" i="2" s="1"/>
  <c r="J108" i="1"/>
  <c r="J104" i="2" s="1"/>
  <c r="I108" i="1"/>
  <c r="I104" i="2" s="1"/>
  <c r="H108" i="1"/>
  <c r="H104" i="2" s="1"/>
  <c r="G108" i="1"/>
  <c r="G104" i="2" s="1"/>
  <c r="F108" i="1"/>
  <c r="F104" i="2" s="1"/>
  <c r="E108" i="1"/>
  <c r="E104" i="2" s="1"/>
  <c r="D108" i="1"/>
  <c r="C108"/>
  <c r="B108"/>
  <c r="B104" i="2" s="1"/>
  <c r="N98" i="1"/>
  <c r="N94" i="2" s="1"/>
  <c r="M98" i="1"/>
  <c r="L98"/>
  <c r="L94" i="2" s="1"/>
  <c r="K98" i="1"/>
  <c r="K94" i="2" s="1"/>
  <c r="J98" i="1"/>
  <c r="J94" i="2" s="1"/>
  <c r="I98" i="1"/>
  <c r="I94" i="2" s="1"/>
  <c r="H98" i="1"/>
  <c r="H94" i="2" s="1"/>
  <c r="G98" i="1"/>
  <c r="G94" i="2" s="1"/>
  <c r="F98" i="1"/>
  <c r="F94" i="2" s="1"/>
  <c r="E98" i="1"/>
  <c r="E94" i="2" s="1"/>
  <c r="D98" i="1"/>
  <c r="D94" i="2" s="1"/>
  <c r="C98" i="1"/>
  <c r="C94" i="2" s="1"/>
  <c r="B98" i="1"/>
  <c r="B94" i="2" s="1"/>
  <c r="N97" i="1"/>
  <c r="N93" i="2" s="1"/>
  <c r="M97" i="1"/>
  <c r="L97"/>
  <c r="K97"/>
  <c r="K93" i="2" s="1"/>
  <c r="J97" i="1"/>
  <c r="I97"/>
  <c r="I93" i="2" s="1"/>
  <c r="H97" i="1"/>
  <c r="H93" i="2" s="1"/>
  <c r="G97" i="1"/>
  <c r="G93" i="2" s="1"/>
  <c r="F97" i="1"/>
  <c r="F93" i="2" s="1"/>
  <c r="E97" i="1"/>
  <c r="E93" i="2" s="1"/>
  <c r="D97" i="1"/>
  <c r="D93" i="2" s="1"/>
  <c r="C97" i="1"/>
  <c r="C93" i="2" s="1"/>
  <c r="B97" i="1"/>
  <c r="N96"/>
  <c r="N92" i="2" s="1"/>
  <c r="M96" i="1"/>
  <c r="L96"/>
  <c r="K96"/>
  <c r="K92" i="2" s="1"/>
  <c r="J96" i="1"/>
  <c r="J92" i="2" s="1"/>
  <c r="I96" i="1"/>
  <c r="I92" i="2" s="1"/>
  <c r="H96" i="1"/>
  <c r="H92" i="2" s="1"/>
  <c r="G96" i="1"/>
  <c r="G92" i="2" s="1"/>
  <c r="F96" i="1"/>
  <c r="F92" i="2" s="1"/>
  <c r="E96" i="1"/>
  <c r="E92" i="2" s="1"/>
  <c r="D96" i="1"/>
  <c r="D92" i="2" s="1"/>
  <c r="C96" i="1"/>
  <c r="C92" i="2" s="1"/>
  <c r="B96" i="1"/>
  <c r="N95"/>
  <c r="N91" i="2" s="1"/>
  <c r="M95" i="1"/>
  <c r="M91" i="2" s="1"/>
  <c r="L95" i="1"/>
  <c r="L91" i="2" s="1"/>
  <c r="K95" i="1"/>
  <c r="K91" i="2" s="1"/>
  <c r="J95" i="1"/>
  <c r="J91" i="2" s="1"/>
  <c r="I95" i="1"/>
  <c r="I91" i="2" s="1"/>
  <c r="H95" i="1"/>
  <c r="H91" i="2" s="1"/>
  <c r="G95" i="1"/>
  <c r="G91" i="2" s="1"/>
  <c r="F95" i="1"/>
  <c r="F91" i="2" s="1"/>
  <c r="E95" i="1"/>
  <c r="E91" i="2" s="1"/>
  <c r="D95" i="1"/>
  <c r="D91" i="2" s="1"/>
  <c r="C95" i="1"/>
  <c r="B95"/>
  <c r="N94"/>
  <c r="N90" i="2" s="1"/>
  <c r="M94" i="1"/>
  <c r="L94"/>
  <c r="L90" i="2" s="1"/>
  <c r="K94" i="1"/>
  <c r="K90" i="2" s="1"/>
  <c r="J94" i="1"/>
  <c r="J90" i="2" s="1"/>
  <c r="I94" i="1"/>
  <c r="I90" i="2" s="1"/>
  <c r="H94" i="1"/>
  <c r="H90" i="2" s="1"/>
  <c r="G94" i="1"/>
  <c r="G90" i="2" s="1"/>
  <c r="F94" i="1"/>
  <c r="F90" i="2" s="1"/>
  <c r="E94" i="1"/>
  <c r="E90" i="2" s="1"/>
  <c r="D94" i="1"/>
  <c r="D90" i="2" s="1"/>
  <c r="C94" i="1"/>
  <c r="B94"/>
  <c r="N93"/>
  <c r="N89" i="2" s="1"/>
  <c r="M93" i="1"/>
  <c r="M89" i="2" s="1"/>
  <c r="L93" i="1"/>
  <c r="K93"/>
  <c r="J93"/>
  <c r="J89" i="2" s="1"/>
  <c r="I93" i="1"/>
  <c r="I89" i="2" s="1"/>
  <c r="H93" i="1"/>
  <c r="H89" i="2" s="1"/>
  <c r="G93" i="1"/>
  <c r="G89" i="2" s="1"/>
  <c r="F93" i="1"/>
  <c r="F89" i="2" s="1"/>
  <c r="E93" i="1"/>
  <c r="E89" i="2" s="1"/>
  <c r="D93" i="1"/>
  <c r="D89" i="2" s="1"/>
  <c r="C93" i="1"/>
  <c r="B93"/>
  <c r="N92"/>
  <c r="N88" i="2" s="1"/>
  <c r="M92" i="1"/>
  <c r="M88" i="2" s="1"/>
  <c r="L92" i="1"/>
  <c r="L88" i="2" s="1"/>
  <c r="K92" i="1"/>
  <c r="J92"/>
  <c r="J88" i="2" s="1"/>
  <c r="I92" i="1"/>
  <c r="I88" i="2" s="1"/>
  <c r="H92" i="1"/>
  <c r="H88" i="2" s="1"/>
  <c r="G92" i="1"/>
  <c r="G88" i="2" s="1"/>
  <c r="F92" i="1"/>
  <c r="F88" i="2" s="1"/>
  <c r="E92" i="1"/>
  <c r="E88" i="2" s="1"/>
  <c r="D92" i="1"/>
  <c r="D88" i="2" s="1"/>
  <c r="C92" i="1"/>
  <c r="C88" i="2" s="1"/>
  <c r="B92" i="1"/>
  <c r="B88" i="2" s="1"/>
  <c r="N91" i="1"/>
  <c r="N87" i="2" s="1"/>
  <c r="M91" i="1"/>
  <c r="M87" i="2" s="1"/>
  <c r="L91" i="1"/>
  <c r="L87" i="2" s="1"/>
  <c r="K91" i="1"/>
  <c r="J91"/>
  <c r="J87" i="2" s="1"/>
  <c r="I91" i="1"/>
  <c r="I87" i="2" s="1"/>
  <c r="H91" i="1"/>
  <c r="H87" i="2" s="1"/>
  <c r="G91" i="1"/>
  <c r="G87" i="2" s="1"/>
  <c r="F91" i="1"/>
  <c r="F87" i="2" s="1"/>
  <c r="E91" i="1"/>
  <c r="E87" i="2" s="1"/>
  <c r="D91" i="1"/>
  <c r="D87" i="2" s="1"/>
  <c r="C91" i="1"/>
  <c r="B91"/>
  <c r="N90"/>
  <c r="N86" i="2" s="1"/>
  <c r="M90" i="1"/>
  <c r="M86" i="2" s="1"/>
  <c r="L90" i="1"/>
  <c r="L86" i="2" s="1"/>
  <c r="K90" i="1"/>
  <c r="J90"/>
  <c r="J86" i="2" s="1"/>
  <c r="I90" i="1"/>
  <c r="I86" i="2" s="1"/>
  <c r="H90" i="1"/>
  <c r="H86" i="2" s="1"/>
  <c r="G90" i="1"/>
  <c r="G86" i="2" s="1"/>
  <c r="F90" i="1"/>
  <c r="F86" i="2" s="1"/>
  <c r="E90" i="1"/>
  <c r="E86" i="2" s="1"/>
  <c r="D90" i="1"/>
  <c r="D86" i="2" s="1"/>
  <c r="C90" i="1"/>
  <c r="C86" i="2" s="1"/>
  <c r="B90" i="1"/>
  <c r="B86" i="2" s="1"/>
  <c r="N89" i="1"/>
  <c r="N85" i="2" s="1"/>
  <c r="M89" i="1"/>
  <c r="M85" i="2" s="1"/>
  <c r="L89" i="1"/>
  <c r="L85" i="2" s="1"/>
  <c r="K89" i="1"/>
  <c r="K85" i="2" s="1"/>
  <c r="J89" i="1"/>
  <c r="J85" i="2" s="1"/>
  <c r="I89" i="1"/>
  <c r="I85" i="2" s="1"/>
  <c r="H89" i="1"/>
  <c r="H85" i="2" s="1"/>
  <c r="G89" i="1"/>
  <c r="G85" i="2" s="1"/>
  <c r="F89" i="1"/>
  <c r="F85" i="2" s="1"/>
  <c r="E89" i="1"/>
  <c r="E85" i="2" s="1"/>
  <c r="D89" i="1"/>
  <c r="D85" i="2" s="1"/>
  <c r="C89" i="1"/>
  <c r="C85" i="2" s="1"/>
  <c r="B89" i="1"/>
  <c r="B85" i="2" s="1"/>
  <c r="N88" i="1"/>
  <c r="N84" i="2" s="1"/>
  <c r="M88" i="1"/>
  <c r="L88"/>
  <c r="K88"/>
  <c r="J88"/>
  <c r="J84" i="2" s="1"/>
  <c r="I88" i="1"/>
  <c r="I84" i="2" s="1"/>
  <c r="H88" i="1"/>
  <c r="H84" i="2" s="1"/>
  <c r="G88" i="1"/>
  <c r="G84" i="2" s="1"/>
  <c r="F88" i="1"/>
  <c r="F84" i="2" s="1"/>
  <c r="E88" i="1"/>
  <c r="E84" i="2" s="1"/>
  <c r="D88" i="1"/>
  <c r="C88"/>
  <c r="B88"/>
  <c r="B84" i="2" s="1"/>
  <c r="N87" i="1"/>
  <c r="N83" i="2" s="1"/>
  <c r="M87" i="1"/>
  <c r="L87"/>
  <c r="L83" i="2" s="1"/>
  <c r="K87" i="1"/>
  <c r="K83" i="2" s="1"/>
  <c r="J87" i="1"/>
  <c r="J83" i="2" s="1"/>
  <c r="I87" i="1"/>
  <c r="I83" i="2" s="1"/>
  <c r="H87" i="1"/>
  <c r="H83" i="2" s="1"/>
  <c r="G87" i="1"/>
  <c r="G83" i="2" s="1"/>
  <c r="F87" i="1"/>
  <c r="F83" i="2" s="1"/>
  <c r="E87" i="1"/>
  <c r="E83" i="2" s="1"/>
  <c r="D87" i="1"/>
  <c r="C87"/>
  <c r="C83" i="2" s="1"/>
  <c r="B87" i="1"/>
  <c r="B83" i="2" s="1"/>
  <c r="N86" i="1"/>
  <c r="N82" i="2" s="1"/>
  <c r="M86" i="1"/>
  <c r="L86"/>
  <c r="L82" i="2" s="1"/>
  <c r="K86" i="1"/>
  <c r="J86"/>
  <c r="J82" i="2" s="1"/>
  <c r="I86" i="1"/>
  <c r="I82" i="2" s="1"/>
  <c r="H86" i="1"/>
  <c r="H82" i="2" s="1"/>
  <c r="G86" i="1"/>
  <c r="G82" i="2" s="1"/>
  <c r="F86" i="1"/>
  <c r="F82" i="2" s="1"/>
  <c r="E86" i="1"/>
  <c r="E82" i="2" s="1"/>
  <c r="D86" i="1"/>
  <c r="C86"/>
  <c r="C82" i="2" s="1"/>
  <c r="B86" i="1"/>
  <c r="B82" i="2" s="1"/>
  <c r="N75" i="1"/>
  <c r="N71" i="2" s="1"/>
  <c r="M75" i="1"/>
  <c r="M71" i="2" s="1"/>
  <c r="L75" i="1"/>
  <c r="L71" i="2" s="1"/>
  <c r="K75" i="1"/>
  <c r="K71" i="2" s="1"/>
  <c r="J75" i="1"/>
  <c r="J71" i="2" s="1"/>
  <c r="I75" i="1"/>
  <c r="I71" i="2" s="1"/>
  <c r="H75" i="1"/>
  <c r="G75"/>
  <c r="G71" i="2" s="1"/>
  <c r="F75" i="1"/>
  <c r="F71" i="2" s="1"/>
  <c r="E75" i="1"/>
  <c r="E71" i="2" s="1"/>
  <c r="D75" i="1"/>
  <c r="D71" i="2" s="1"/>
  <c r="C75" i="1"/>
  <c r="C71" i="2" s="1"/>
  <c r="B75" i="1"/>
  <c r="B71" i="2" s="1"/>
  <c r="N74" i="1"/>
  <c r="N70" i="2" s="1"/>
  <c r="M74" i="1"/>
  <c r="M70" i="2" s="1"/>
  <c r="L74" i="1"/>
  <c r="L70" i="2" s="1"/>
  <c r="K74" i="1"/>
  <c r="K70" i="2" s="1"/>
  <c r="J74" i="1"/>
  <c r="J70" i="2" s="1"/>
  <c r="I74" i="1"/>
  <c r="I70" i="2" s="1"/>
  <c r="H74" i="1"/>
  <c r="G74"/>
  <c r="G70" i="2" s="1"/>
  <c r="F74" i="1"/>
  <c r="F70" i="2" s="1"/>
  <c r="E74" i="1"/>
  <c r="E70" i="2" s="1"/>
  <c r="D74" i="1"/>
  <c r="D70" i="2" s="1"/>
  <c r="C74" i="1"/>
  <c r="C70" i="2" s="1"/>
  <c r="B74" i="1"/>
  <c r="N73"/>
  <c r="N69" i="2" s="1"/>
  <c r="M73" i="1"/>
  <c r="M69" i="2" s="1"/>
  <c r="L73" i="1"/>
  <c r="L69" i="2" s="1"/>
  <c r="K73" i="1"/>
  <c r="K69" i="2" s="1"/>
  <c r="J73" i="1"/>
  <c r="J69" i="2" s="1"/>
  <c r="I73" i="1"/>
  <c r="I69" i="2" s="1"/>
  <c r="H73" i="1"/>
  <c r="H69" i="2" s="1"/>
  <c r="G73" i="1"/>
  <c r="G69" i="2" s="1"/>
  <c r="F73" i="1"/>
  <c r="F69" i="2" s="1"/>
  <c r="E73" i="1"/>
  <c r="E69" i="2" s="1"/>
  <c r="D73" i="1"/>
  <c r="D69" i="2" s="1"/>
  <c r="C73" i="1"/>
  <c r="C69" i="2" s="1"/>
  <c r="B73" i="1"/>
  <c r="B69" i="2" s="1"/>
  <c r="N72" i="1"/>
  <c r="N68" i="2" s="1"/>
  <c r="M72" i="1"/>
  <c r="M68" i="2" s="1"/>
  <c r="L72" i="1"/>
  <c r="L68" i="2" s="1"/>
  <c r="K72" i="1"/>
  <c r="K68" i="2" s="1"/>
  <c r="J72" i="1"/>
  <c r="J68" i="2" s="1"/>
  <c r="I72" i="1"/>
  <c r="I68" i="2" s="1"/>
  <c r="H72" i="1"/>
  <c r="H68" i="2" s="1"/>
  <c r="G72" i="1"/>
  <c r="G68" i="2" s="1"/>
  <c r="F72" i="1"/>
  <c r="F68" i="2" s="1"/>
  <c r="E72" i="1"/>
  <c r="E68" i="2" s="1"/>
  <c r="D72" i="1"/>
  <c r="D68" i="2" s="1"/>
  <c r="C72" i="1"/>
  <c r="B72"/>
  <c r="B68" i="2" s="1"/>
  <c r="N71" i="1"/>
  <c r="N67" i="2" s="1"/>
  <c r="M71" i="1"/>
  <c r="M67" i="2" s="1"/>
  <c r="L71" i="1"/>
  <c r="L67" i="2" s="1"/>
  <c r="K71" i="1"/>
  <c r="K67" i="2" s="1"/>
  <c r="J71" i="1"/>
  <c r="J67" i="2" s="1"/>
  <c r="I71" i="1"/>
  <c r="I67" i="2" s="1"/>
  <c r="H71" i="1"/>
  <c r="G71"/>
  <c r="G67" i="2" s="1"/>
  <c r="F71" i="1"/>
  <c r="F67" i="2" s="1"/>
  <c r="E71" i="1"/>
  <c r="E67" i="2" s="1"/>
  <c r="D71" i="1"/>
  <c r="D67" i="2" s="1"/>
  <c r="C71" i="1"/>
  <c r="C67" i="2" s="1"/>
  <c r="B71" i="1"/>
  <c r="N70"/>
  <c r="N66" i="2" s="1"/>
  <c r="M70" i="1"/>
  <c r="M66" i="2" s="1"/>
  <c r="L70" i="1"/>
  <c r="L66" i="2" s="1"/>
  <c r="K70" i="1"/>
  <c r="J70"/>
  <c r="J66" i="2" s="1"/>
  <c r="I70" i="1"/>
  <c r="I66" i="2" s="1"/>
  <c r="H70" i="1"/>
  <c r="H66" i="2" s="1"/>
  <c r="G70" i="1"/>
  <c r="G66" i="2" s="1"/>
  <c r="F70" i="1"/>
  <c r="F66" i="2" s="1"/>
  <c r="E70" i="1"/>
  <c r="E66" i="2" s="1"/>
  <c r="D70" i="1"/>
  <c r="D66" i="2" s="1"/>
  <c r="C70" i="1"/>
  <c r="B70"/>
  <c r="B66" i="2" s="1"/>
  <c r="N69" i="1"/>
  <c r="N65" i="2" s="1"/>
  <c r="M69" i="1"/>
  <c r="M65" i="2" s="1"/>
  <c r="L69" i="1"/>
  <c r="L65" i="2" s="1"/>
  <c r="K69" i="1"/>
  <c r="K65" i="2" s="1"/>
  <c r="J69" i="1"/>
  <c r="J65" i="2" s="1"/>
  <c r="I69" i="1"/>
  <c r="I65" i="2" s="1"/>
  <c r="H69" i="1"/>
  <c r="H65" i="2" s="1"/>
  <c r="G69" i="1"/>
  <c r="G65" i="2" s="1"/>
  <c r="F69" i="1"/>
  <c r="F65" i="2" s="1"/>
  <c r="E69" i="1"/>
  <c r="E65" i="2" s="1"/>
  <c r="D69" i="1"/>
  <c r="D65" i="2" s="1"/>
  <c r="C69" i="1"/>
  <c r="C65" i="2" s="1"/>
  <c r="B69" i="1"/>
  <c r="B65" i="2" s="1"/>
  <c r="N68" i="1"/>
  <c r="N64" i="2" s="1"/>
  <c r="M68" i="1"/>
  <c r="M64" i="2" s="1"/>
  <c r="L68" i="1"/>
  <c r="L64" i="2" s="1"/>
  <c r="K68" i="1"/>
  <c r="K64" i="2" s="1"/>
  <c r="J68" i="1"/>
  <c r="J64" i="2" s="1"/>
  <c r="I68" i="1"/>
  <c r="I64" i="2" s="1"/>
  <c r="H68" i="1"/>
  <c r="G68"/>
  <c r="G64" i="2" s="1"/>
  <c r="F68" i="1"/>
  <c r="F64" i="2" s="1"/>
  <c r="E68" i="1"/>
  <c r="E64" i="2" s="1"/>
  <c r="D68" i="1"/>
  <c r="D64" i="2" s="1"/>
  <c r="C68" i="1"/>
  <c r="B68"/>
  <c r="B64" i="2" s="1"/>
  <c r="N67" i="1"/>
  <c r="N63" i="2" s="1"/>
  <c r="M67" i="1"/>
  <c r="M63" i="2" s="1"/>
  <c r="L67" i="1"/>
  <c r="L63" i="2" s="1"/>
  <c r="K67" i="1"/>
  <c r="K63" i="2" s="1"/>
  <c r="J67" i="1"/>
  <c r="J63" i="2" s="1"/>
  <c r="I67" i="1"/>
  <c r="I63" i="2" s="1"/>
  <c r="H67" i="1"/>
  <c r="G67"/>
  <c r="G63" i="2" s="1"/>
  <c r="F67" i="1"/>
  <c r="F63" i="2" s="1"/>
  <c r="E67" i="1"/>
  <c r="E63" i="2" s="1"/>
  <c r="D67" i="1"/>
  <c r="D63" i="2" s="1"/>
  <c r="C67" i="1"/>
  <c r="C63" i="2" s="1"/>
  <c r="B67" i="1"/>
  <c r="N66"/>
  <c r="N62" i="2" s="1"/>
  <c r="M66" i="1"/>
  <c r="M62" i="2" s="1"/>
  <c r="L66" i="1"/>
  <c r="L62" i="2" s="1"/>
  <c r="K66" i="1"/>
  <c r="K62" i="2" s="1"/>
  <c r="J66" i="1"/>
  <c r="J62" i="2" s="1"/>
  <c r="I66" i="1"/>
  <c r="I62" i="2" s="1"/>
  <c r="H66" i="1"/>
  <c r="H62" i="2" s="1"/>
  <c r="G66" i="1"/>
  <c r="G62" i="2" s="1"/>
  <c r="F66" i="1"/>
  <c r="F62" i="2" s="1"/>
  <c r="E66" i="1"/>
  <c r="E62" i="2" s="1"/>
  <c r="D66" i="1"/>
  <c r="D62" i="2" s="1"/>
  <c r="C66" i="1"/>
  <c r="C62" i="2" s="1"/>
  <c r="B66" i="1"/>
  <c r="B62" i="2" s="1"/>
  <c r="N65" i="1"/>
  <c r="N61" i="2" s="1"/>
  <c r="M65" i="1"/>
  <c r="M61" i="2" s="1"/>
  <c r="L65" i="1"/>
  <c r="L61" i="2" s="1"/>
  <c r="K65" i="1"/>
  <c r="K61" i="2" s="1"/>
  <c r="J65" i="1"/>
  <c r="J61" i="2" s="1"/>
  <c r="I65" i="1"/>
  <c r="I61" i="2" s="1"/>
  <c r="H65" i="1"/>
  <c r="H61" i="2" s="1"/>
  <c r="G65" i="1"/>
  <c r="G61" i="2" s="1"/>
  <c r="F65" i="1"/>
  <c r="F61" i="2" s="1"/>
  <c r="E65" i="1"/>
  <c r="E61" i="2" s="1"/>
  <c r="D65" i="1"/>
  <c r="D61" i="2" s="1"/>
  <c r="C65" i="1"/>
  <c r="C61" i="2" s="1"/>
  <c r="B65" i="1"/>
  <c r="B61" i="2" s="1"/>
  <c r="K60"/>
  <c r="J60"/>
  <c r="G60"/>
  <c r="F60"/>
  <c r="C60"/>
  <c r="N63" i="1"/>
  <c r="N59" i="2" s="1"/>
  <c r="M63" i="1"/>
  <c r="M59" i="2" s="1"/>
  <c r="L63" i="1"/>
  <c r="L59" i="2" s="1"/>
  <c r="K63" i="1"/>
  <c r="J63"/>
  <c r="J59" i="2" s="1"/>
  <c r="I63" i="1"/>
  <c r="I59" i="2" s="1"/>
  <c r="H63" i="1"/>
  <c r="H59" i="2" s="1"/>
  <c r="G63" i="1"/>
  <c r="G59" i="2" s="1"/>
  <c r="F63" i="1"/>
  <c r="F59" i="2" s="1"/>
  <c r="E63" i="1"/>
  <c r="E59" i="2" s="1"/>
  <c r="D63" i="1"/>
  <c r="D59" i="2" s="1"/>
  <c r="C63" i="1"/>
  <c r="C59" i="2" s="1"/>
  <c r="B63" i="1"/>
  <c r="B59" i="2" s="1"/>
  <c r="N52" i="1"/>
  <c r="M52"/>
  <c r="M48" i="2" s="1"/>
  <c r="L52" i="1"/>
  <c r="L48" i="2" s="1"/>
  <c r="K52" i="1"/>
  <c r="K48" i="2" s="1"/>
  <c r="J52" i="1"/>
  <c r="J48" i="2" s="1"/>
  <c r="I52" i="1"/>
  <c r="I48" i="2" s="1"/>
  <c r="H52" i="1"/>
  <c r="H48" i="2" s="1"/>
  <c r="G52" i="1"/>
  <c r="F52"/>
  <c r="F48" i="2" s="1"/>
  <c r="E52" i="1"/>
  <c r="E48" i="2" s="1"/>
  <c r="D52" i="1"/>
  <c r="D48" i="2" s="1"/>
  <c r="C52" i="1"/>
  <c r="C48" i="2" s="1"/>
  <c r="B52" i="1"/>
  <c r="N51"/>
  <c r="M51"/>
  <c r="M47" i="2" s="1"/>
  <c r="L51" i="1"/>
  <c r="L47" i="2" s="1"/>
  <c r="K51" i="1"/>
  <c r="K47" i="2" s="1"/>
  <c r="J51" i="1"/>
  <c r="J47" i="2" s="1"/>
  <c r="I51" i="1"/>
  <c r="I47" i="2" s="1"/>
  <c r="H51" i="1"/>
  <c r="H47" i="2" s="1"/>
  <c r="G51" i="1"/>
  <c r="F51"/>
  <c r="F47" i="2" s="1"/>
  <c r="E51" i="1"/>
  <c r="E47" i="2" s="1"/>
  <c r="D51" i="1"/>
  <c r="D47" i="2" s="1"/>
  <c r="C51" i="1"/>
  <c r="C47" i="2" s="1"/>
  <c r="B51" i="1"/>
  <c r="N50"/>
  <c r="M50"/>
  <c r="M46" i="2" s="1"/>
  <c r="L50" i="1"/>
  <c r="L46" i="2" s="1"/>
  <c r="K50" i="1"/>
  <c r="K46" i="2" s="1"/>
  <c r="J50" i="1"/>
  <c r="J46" i="2" s="1"/>
  <c r="I50" i="1"/>
  <c r="I46" i="2" s="1"/>
  <c r="H50" i="1"/>
  <c r="H46" i="2" s="1"/>
  <c r="G50" i="1"/>
  <c r="F50"/>
  <c r="F46" i="2" s="1"/>
  <c r="E50" i="1"/>
  <c r="E46" i="2" s="1"/>
  <c r="D50" i="1"/>
  <c r="D46" i="2" s="1"/>
  <c r="C50" i="1"/>
  <c r="C46" i="2" s="1"/>
  <c r="B50" i="1"/>
  <c r="B46" i="2" s="1"/>
  <c r="N49" i="1"/>
  <c r="M49"/>
  <c r="M45" i="2" s="1"/>
  <c r="L49" i="1"/>
  <c r="L45" i="2" s="1"/>
  <c r="K49" i="1"/>
  <c r="K45" i="2" s="1"/>
  <c r="J49" i="1"/>
  <c r="J45" i="2" s="1"/>
  <c r="I49" i="1"/>
  <c r="I45" i="2" s="1"/>
  <c r="H49" i="1"/>
  <c r="H45" i="2" s="1"/>
  <c r="G49" i="1"/>
  <c r="F49"/>
  <c r="F45" i="2" s="1"/>
  <c r="E49" i="1"/>
  <c r="E45" i="2" s="1"/>
  <c r="D49" i="1"/>
  <c r="D45" i="2" s="1"/>
  <c r="C49" i="1"/>
  <c r="C45" i="2" s="1"/>
  <c r="B49" i="1"/>
  <c r="B45" i="2" s="1"/>
  <c r="N48" i="1"/>
  <c r="M48"/>
  <c r="M44" i="2" s="1"/>
  <c r="L48" i="1"/>
  <c r="L44" i="2" s="1"/>
  <c r="K48" i="1"/>
  <c r="K44" i="2" s="1"/>
  <c r="J48" i="1"/>
  <c r="J44" i="2" s="1"/>
  <c r="I48" i="1"/>
  <c r="I44" i="2" s="1"/>
  <c r="H48" i="1"/>
  <c r="H44" i="2" s="1"/>
  <c r="G48" i="1"/>
  <c r="F48"/>
  <c r="F44" i="2" s="1"/>
  <c r="E48" i="1"/>
  <c r="E44" i="2" s="1"/>
  <c r="D48" i="1"/>
  <c r="D44" i="2" s="1"/>
  <c r="C48" i="1"/>
  <c r="C44" i="2" s="1"/>
  <c r="B48" i="1"/>
  <c r="N47"/>
  <c r="M47"/>
  <c r="M43" i="2" s="1"/>
  <c r="L47" i="1"/>
  <c r="L43" i="2" s="1"/>
  <c r="K47" i="1"/>
  <c r="K43" i="2" s="1"/>
  <c r="J47" i="1"/>
  <c r="J43" i="2" s="1"/>
  <c r="I47" i="1"/>
  <c r="I43" i="2" s="1"/>
  <c r="H47" i="1"/>
  <c r="H43" i="2" s="1"/>
  <c r="G47" i="1"/>
  <c r="F47"/>
  <c r="F43" i="2" s="1"/>
  <c r="E47" i="1"/>
  <c r="E43" i="2" s="1"/>
  <c r="D47" i="1"/>
  <c r="D43" i="2" s="1"/>
  <c r="C47" i="1"/>
  <c r="C43" i="2" s="1"/>
  <c r="B47" i="1"/>
  <c r="N46"/>
  <c r="N42" i="2" s="1"/>
  <c r="M46" i="1"/>
  <c r="M42" i="2" s="1"/>
  <c r="L46" i="1"/>
  <c r="L42" i="2" s="1"/>
  <c r="K46" i="1"/>
  <c r="K42" i="2" s="1"/>
  <c r="J46" i="1"/>
  <c r="J42" i="2" s="1"/>
  <c r="I46" i="1"/>
  <c r="I42" i="2" s="1"/>
  <c r="H46" i="1"/>
  <c r="H42" i="2" s="1"/>
  <c r="G46" i="1"/>
  <c r="F46"/>
  <c r="F42" i="2" s="1"/>
  <c r="E46" i="1"/>
  <c r="E42" i="2" s="1"/>
  <c r="D46" i="1"/>
  <c r="D42" i="2" s="1"/>
  <c r="C46" i="1"/>
  <c r="C42" i="2" s="1"/>
  <c r="B46" i="1"/>
  <c r="B42" i="2" s="1"/>
  <c r="N45" i="1"/>
  <c r="M45"/>
  <c r="M41" i="2" s="1"/>
  <c r="L45" i="1"/>
  <c r="L41" i="2" s="1"/>
  <c r="K45" i="1"/>
  <c r="K41" i="2" s="1"/>
  <c r="J45" i="1"/>
  <c r="J41" i="2" s="1"/>
  <c r="I45" i="1"/>
  <c r="I41" i="2" s="1"/>
  <c r="H45" i="1"/>
  <c r="H41" i="2" s="1"/>
  <c r="G45" i="1"/>
  <c r="F45"/>
  <c r="F41" i="2" s="1"/>
  <c r="E45" i="1"/>
  <c r="E41" i="2" s="1"/>
  <c r="D45" i="1"/>
  <c r="D41" i="2" s="1"/>
  <c r="C45" i="1"/>
  <c r="C41" i="2" s="1"/>
  <c r="B45" i="1"/>
  <c r="N44"/>
  <c r="N40" i="2" s="1"/>
  <c r="M44" i="1"/>
  <c r="M40" i="2" s="1"/>
  <c r="L44" i="1"/>
  <c r="L40" i="2" s="1"/>
  <c r="K44" i="1"/>
  <c r="K40" i="2" s="1"/>
  <c r="J44" i="1"/>
  <c r="J40" i="2" s="1"/>
  <c r="I44" i="1"/>
  <c r="I40" i="2" s="1"/>
  <c r="H44" i="1"/>
  <c r="H40" i="2" s="1"/>
  <c r="G44" i="1"/>
  <c r="F44"/>
  <c r="F40" i="2" s="1"/>
  <c r="E44" i="1"/>
  <c r="E40" i="2" s="1"/>
  <c r="D44" i="1"/>
  <c r="D40" i="2" s="1"/>
  <c r="C44" i="1"/>
  <c r="C40" i="2" s="1"/>
  <c r="B44" i="1"/>
  <c r="B40" i="2" s="1"/>
  <c r="N43" i="1"/>
  <c r="N39" i="2" s="1"/>
  <c r="M43" i="1"/>
  <c r="M39" i="2" s="1"/>
  <c r="L43" i="1"/>
  <c r="L39" i="2" s="1"/>
  <c r="K43" i="1"/>
  <c r="J43"/>
  <c r="J39" i="2" s="1"/>
  <c r="I43" i="1"/>
  <c r="I39" i="2" s="1"/>
  <c r="H43" i="1"/>
  <c r="G43"/>
  <c r="F43"/>
  <c r="F39" i="2" s="1"/>
  <c r="E43" i="1"/>
  <c r="E39" i="2" s="1"/>
  <c r="D43" i="1"/>
  <c r="D39" i="2" s="1"/>
  <c r="C43" i="1"/>
  <c r="C39" i="2" s="1"/>
  <c r="B43" i="1"/>
  <c r="B39" i="2" s="1"/>
  <c r="N42" i="1"/>
  <c r="M42"/>
  <c r="M38" i="2" s="1"/>
  <c r="L42" i="1"/>
  <c r="L38" i="2" s="1"/>
  <c r="K42" i="1"/>
  <c r="J42"/>
  <c r="J38" i="2" s="1"/>
  <c r="I42" i="1"/>
  <c r="I38" i="2" s="1"/>
  <c r="H42" i="1"/>
  <c r="G42"/>
  <c r="F42"/>
  <c r="F38" i="2" s="1"/>
  <c r="E42" i="1"/>
  <c r="E38" i="2" s="1"/>
  <c r="D42" i="1"/>
  <c r="C42"/>
  <c r="C38" i="2" s="1"/>
  <c r="B42" i="1"/>
  <c r="B38" i="2" s="1"/>
  <c r="N37"/>
  <c r="M37"/>
  <c r="J37"/>
  <c r="E37"/>
  <c r="D37"/>
  <c r="C37"/>
  <c r="N40" i="1"/>
  <c r="N36" i="2" s="1"/>
  <c r="M40" i="1"/>
  <c r="M36" i="2" s="1"/>
  <c r="L40" i="1"/>
  <c r="L36" i="2" s="1"/>
  <c r="K40" i="1"/>
  <c r="J40"/>
  <c r="J36" i="2" s="1"/>
  <c r="I40" i="1"/>
  <c r="I36" i="2" s="1"/>
  <c r="H40" i="1"/>
  <c r="G40"/>
  <c r="F40"/>
  <c r="F36" i="2" s="1"/>
  <c r="E40" i="1"/>
  <c r="E36" i="2" s="1"/>
  <c r="D40" i="1"/>
  <c r="C40"/>
  <c r="C36" i="2" s="1"/>
  <c r="B40" i="1"/>
  <c r="N27"/>
  <c r="N27" i="2" s="1"/>
  <c r="M27" i="1"/>
  <c r="M27" i="2" s="1"/>
  <c r="L27" i="1"/>
  <c r="L27" i="2" s="1"/>
  <c r="K27" i="1"/>
  <c r="K27" i="2" s="1"/>
  <c r="J27" i="1"/>
  <c r="J27" i="2" s="1"/>
  <c r="I27" i="1"/>
  <c r="I27" i="2" s="1"/>
  <c r="H27" i="1"/>
  <c r="H27" i="2" s="1"/>
  <c r="G27" i="1"/>
  <c r="G27" i="2" s="1"/>
  <c r="F27" i="1"/>
  <c r="F27" i="2" s="1"/>
  <c r="E27" i="1"/>
  <c r="E27" i="2" s="1"/>
  <c r="D27" i="1"/>
  <c r="D27" i="2" s="1"/>
  <c r="C27" i="1"/>
  <c r="C27" i="2" s="1"/>
  <c r="B27" i="1"/>
  <c r="B27" i="2" s="1"/>
  <c r="N26" i="1"/>
  <c r="M26"/>
  <c r="M26" i="2" s="1"/>
  <c r="L26" i="1"/>
  <c r="L26" i="2" s="1"/>
  <c r="K26" i="1"/>
  <c r="K26" i="2" s="1"/>
  <c r="J26" i="1"/>
  <c r="J26" i="2" s="1"/>
  <c r="I26" i="1"/>
  <c r="I26" i="2" s="1"/>
  <c r="H26" i="1"/>
  <c r="H26" i="2" s="1"/>
  <c r="G26" i="1"/>
  <c r="G26" i="2" s="1"/>
  <c r="F26" i="1"/>
  <c r="F26" i="2" s="1"/>
  <c r="E26" i="1"/>
  <c r="E26" i="2" s="1"/>
  <c r="D26" i="1"/>
  <c r="C26"/>
  <c r="C26" i="2" s="1"/>
  <c r="B26" i="1"/>
  <c r="B26" i="2" s="1"/>
  <c r="N25" i="1"/>
  <c r="M25"/>
  <c r="M25" i="2" s="1"/>
  <c r="L25" i="1"/>
  <c r="L25" i="2" s="1"/>
  <c r="K25" i="1"/>
  <c r="K25" i="2" s="1"/>
  <c r="J25" i="1"/>
  <c r="J25" i="2" s="1"/>
  <c r="I25" i="1"/>
  <c r="I25" i="2" s="1"/>
  <c r="H25" i="1"/>
  <c r="H25" i="2" s="1"/>
  <c r="G25" i="1"/>
  <c r="G25" i="2" s="1"/>
  <c r="F25" i="1"/>
  <c r="F25" i="2" s="1"/>
  <c r="E25" i="1"/>
  <c r="E25" i="2" s="1"/>
  <c r="D25" i="1"/>
  <c r="C25"/>
  <c r="C25" i="2" s="1"/>
  <c r="B25" i="1"/>
  <c r="B25" i="2" s="1"/>
  <c r="N24" i="1"/>
  <c r="N24" i="2" s="1"/>
  <c r="M24" i="1"/>
  <c r="M24" i="2" s="1"/>
  <c r="L24" i="1"/>
  <c r="L24" i="2" s="1"/>
  <c r="K24" i="1"/>
  <c r="K24" i="2" s="1"/>
  <c r="J24" i="1"/>
  <c r="J24" i="2" s="1"/>
  <c r="I24" i="1"/>
  <c r="I24" i="2" s="1"/>
  <c r="H24" i="1"/>
  <c r="H24" i="2" s="1"/>
  <c r="G24" i="1"/>
  <c r="G24" i="2" s="1"/>
  <c r="F24" i="1"/>
  <c r="F24" i="2" s="1"/>
  <c r="E24" i="1"/>
  <c r="E24" i="2" s="1"/>
  <c r="D24" i="1"/>
  <c r="C24"/>
  <c r="C24" i="2" s="1"/>
  <c r="B24" i="1"/>
  <c r="N23"/>
  <c r="M23"/>
  <c r="M23" i="2" s="1"/>
  <c r="L23" i="1"/>
  <c r="L23" i="2" s="1"/>
  <c r="K23" i="1"/>
  <c r="K23" i="2" s="1"/>
  <c r="J23" i="1"/>
  <c r="J23" i="2" s="1"/>
  <c r="I23" i="1"/>
  <c r="I23" i="2" s="1"/>
  <c r="H23" i="1"/>
  <c r="H23" i="2" s="1"/>
  <c r="G23" i="1"/>
  <c r="G23" i="2" s="1"/>
  <c r="F23" i="1"/>
  <c r="F23" i="2" s="1"/>
  <c r="E23" i="1"/>
  <c r="E23" i="2" s="1"/>
  <c r="D23" i="1"/>
  <c r="C23"/>
  <c r="C23" i="2" s="1"/>
  <c r="B23" i="1"/>
  <c r="N22"/>
  <c r="N22" i="2" s="1"/>
  <c r="M22" i="1"/>
  <c r="M22" i="2" s="1"/>
  <c r="L22" i="1"/>
  <c r="L22" i="2" s="1"/>
  <c r="K22" i="1"/>
  <c r="K22" i="2" s="1"/>
  <c r="J22" i="1"/>
  <c r="J22" i="2" s="1"/>
  <c r="I22" i="1"/>
  <c r="I22" i="2" s="1"/>
  <c r="H22" i="1"/>
  <c r="H22" i="2" s="1"/>
  <c r="G22" i="1"/>
  <c r="G22" i="2" s="1"/>
  <c r="F22" i="1"/>
  <c r="F22" i="2" s="1"/>
  <c r="E22" i="1"/>
  <c r="E22" i="2" s="1"/>
  <c r="D22" i="1"/>
  <c r="D22" i="2" s="1"/>
  <c r="C22" i="1"/>
  <c r="C22" i="2" s="1"/>
  <c r="B22" i="1"/>
  <c r="B22" i="2" s="1"/>
  <c r="N21" i="1"/>
  <c r="N21" i="2" s="1"/>
  <c r="M21" i="1"/>
  <c r="M21" i="2" s="1"/>
  <c r="L21" i="1"/>
  <c r="L21" i="2" s="1"/>
  <c r="K21" i="1"/>
  <c r="K21" i="2" s="1"/>
  <c r="J21" i="1"/>
  <c r="J21" i="2" s="1"/>
  <c r="I21" i="1"/>
  <c r="I21" i="2" s="1"/>
  <c r="H21" i="1"/>
  <c r="H21" i="2" s="1"/>
  <c r="G21" i="1"/>
  <c r="G21" i="2" s="1"/>
  <c r="F21" i="1"/>
  <c r="F21" i="2" s="1"/>
  <c r="E21" i="1"/>
  <c r="E21" i="2" s="1"/>
  <c r="D21" i="1"/>
  <c r="D21" i="2" s="1"/>
  <c r="C21" i="1"/>
  <c r="C21" i="2" s="1"/>
  <c r="B21" i="1"/>
  <c r="B21" i="2" s="1"/>
  <c r="N20" i="1"/>
  <c r="M20"/>
  <c r="M20" i="2" s="1"/>
  <c r="L20" i="1"/>
  <c r="L20" i="2" s="1"/>
  <c r="K20" i="1"/>
  <c r="K20" i="2" s="1"/>
  <c r="J20" i="1"/>
  <c r="J20" i="2" s="1"/>
  <c r="I20" i="1"/>
  <c r="I20" i="2" s="1"/>
  <c r="H20" i="1"/>
  <c r="H20" i="2" s="1"/>
  <c r="G20" i="1"/>
  <c r="G20" i="2" s="1"/>
  <c r="F20" i="1"/>
  <c r="F20" i="2" s="1"/>
  <c r="E20" i="1"/>
  <c r="E20" i="2" s="1"/>
  <c r="D20" i="1"/>
  <c r="D20" i="2" s="1"/>
  <c r="C20" i="1"/>
  <c r="C20" i="2" s="1"/>
  <c r="B20" i="1"/>
  <c r="B20" i="2" s="1"/>
  <c r="N19" i="1"/>
  <c r="M19"/>
  <c r="M19" i="2" s="1"/>
  <c r="L19" i="1"/>
  <c r="L19" i="2" s="1"/>
  <c r="K19" i="1"/>
  <c r="K19" i="2" s="1"/>
  <c r="J19" i="1"/>
  <c r="J19" i="2" s="1"/>
  <c r="I19" i="1"/>
  <c r="I19" i="2" s="1"/>
  <c r="H19" i="1"/>
  <c r="H19" i="2" s="1"/>
  <c r="G19" i="1"/>
  <c r="G19" i="2" s="1"/>
  <c r="F19" i="1"/>
  <c r="F19" i="2" s="1"/>
  <c r="E19" i="1"/>
  <c r="E19" i="2" s="1"/>
  <c r="D19" i="1"/>
  <c r="C19"/>
  <c r="C19" i="2" s="1"/>
  <c r="B19" i="1"/>
  <c r="B19" i="2" s="1"/>
  <c r="N18" i="1"/>
  <c r="M18"/>
  <c r="M18" i="2" s="1"/>
  <c r="L18" i="1"/>
  <c r="L18" i="2" s="1"/>
  <c r="K18" i="1"/>
  <c r="K18" i="2" s="1"/>
  <c r="J18" i="1"/>
  <c r="I18"/>
  <c r="I18" i="2" s="1"/>
  <c r="H18" i="1"/>
  <c r="H18" i="2" s="1"/>
  <c r="G18" i="1"/>
  <c r="G18" i="2" s="1"/>
  <c r="F18" i="1"/>
  <c r="F18" i="2" s="1"/>
  <c r="E18" i="1"/>
  <c r="E18" i="2" s="1"/>
  <c r="D18" i="1"/>
  <c r="D18" i="2" s="1"/>
  <c r="C18" i="1"/>
  <c r="C18" i="2" s="1"/>
  <c r="B18" i="1"/>
  <c r="B18" i="2" s="1"/>
  <c r="N17" i="1"/>
  <c r="N17" i="2" s="1"/>
  <c r="M17" i="1"/>
  <c r="M17" i="2" s="1"/>
  <c r="L17" i="1"/>
  <c r="L17" i="2" s="1"/>
  <c r="K17" i="1"/>
  <c r="K17" i="2" s="1"/>
  <c r="J17" i="1"/>
  <c r="J17" i="2" s="1"/>
  <c r="I17" i="1"/>
  <c r="I17" i="2" s="1"/>
  <c r="H17" i="1"/>
  <c r="H17" i="2" s="1"/>
  <c r="G17" i="1"/>
  <c r="G17" i="2" s="1"/>
  <c r="F17" i="1"/>
  <c r="F17" i="2" s="1"/>
  <c r="E17" i="1"/>
  <c r="E17" i="2" s="1"/>
  <c r="D17" i="1"/>
  <c r="D17" i="2" s="1"/>
  <c r="C17" i="1"/>
  <c r="C17" i="2" s="1"/>
  <c r="B17" i="1"/>
  <c r="B17" i="2" s="1"/>
  <c r="N16"/>
  <c r="M16"/>
  <c r="J16"/>
  <c r="F16"/>
  <c r="E16"/>
  <c r="C16"/>
  <c r="B16"/>
  <c r="N15" i="1"/>
  <c r="N15" i="2" s="1"/>
  <c r="M15" i="1"/>
  <c r="M15" i="2" s="1"/>
  <c r="L15" i="1"/>
  <c r="L15" i="2" s="1"/>
  <c r="K15" i="1"/>
  <c r="K15" i="2" s="1"/>
  <c r="J15" i="1"/>
  <c r="J15" i="2" s="1"/>
  <c r="I15" i="1"/>
  <c r="I15" i="2" s="1"/>
  <c r="H15" i="1"/>
  <c r="H15" i="2" s="1"/>
  <c r="G15" i="1"/>
  <c r="G15" i="2" s="1"/>
  <c r="F15" i="1"/>
  <c r="F15" i="2" s="1"/>
  <c r="E15" i="1"/>
  <c r="E15" i="2" s="1"/>
  <c r="D15" i="1"/>
  <c r="D15" i="2" s="1"/>
  <c r="C15" i="1"/>
  <c r="C15" i="2" s="1"/>
  <c r="B15" i="1"/>
  <c r="O339" l="1"/>
  <c r="Q339" s="1"/>
  <c r="O342"/>
  <c r="Q342" s="1"/>
  <c r="O343"/>
  <c r="Q343" s="1"/>
  <c r="O365"/>
  <c r="Q365" s="1"/>
  <c r="O351"/>
  <c r="Q351" s="1"/>
  <c r="O355"/>
  <c r="Q355" s="1"/>
  <c r="O201"/>
  <c r="Q201" s="1"/>
  <c r="O205"/>
  <c r="Q205" s="1"/>
  <c r="O209"/>
  <c r="Q209" s="1"/>
  <c r="O179"/>
  <c r="Q179" s="1"/>
  <c r="O141"/>
  <c r="Q141" s="1"/>
  <c r="P54" i="5"/>
  <c r="R54" s="1"/>
  <c r="P56"/>
  <c r="R56" s="1"/>
  <c r="O94" i="1"/>
  <c r="Q94" s="1"/>
  <c r="O68"/>
  <c r="Q68" s="1"/>
  <c r="O26"/>
  <c r="Q26" s="1"/>
  <c r="O86"/>
  <c r="Q86" s="1"/>
  <c r="O93"/>
  <c r="Q93" s="1"/>
  <c r="O149"/>
  <c r="Q149" s="1"/>
  <c r="O171"/>
  <c r="Q171" s="1"/>
  <c r="O197"/>
  <c r="Q197" s="1"/>
  <c r="O207"/>
  <c r="Q207" s="1"/>
  <c r="P16" i="5"/>
  <c r="R16" s="1"/>
  <c r="O70" i="1"/>
  <c r="Q70" s="1"/>
  <c r="O89"/>
  <c r="Q89" s="1"/>
  <c r="O97"/>
  <c r="Q97" s="1"/>
  <c r="O140"/>
  <c r="Q140" s="1"/>
  <c r="O143"/>
  <c r="Q143" s="1"/>
  <c r="O148"/>
  <c r="Q148" s="1"/>
  <c r="O151"/>
  <c r="Q151" s="1"/>
  <c r="O156"/>
  <c r="Q156" s="1"/>
  <c r="O165"/>
  <c r="Q165" s="1"/>
  <c r="O166"/>
  <c r="Q166" s="1"/>
  <c r="O169"/>
  <c r="Q169" s="1"/>
  <c r="O173"/>
  <c r="Q173" s="1"/>
  <c r="O177"/>
  <c r="Q177" s="1"/>
  <c r="O181"/>
  <c r="Q181" s="1"/>
  <c r="O185"/>
  <c r="Q185" s="1"/>
  <c r="O228"/>
  <c r="Q228" s="1"/>
  <c r="O232"/>
  <c r="Q232" s="1"/>
  <c r="O236"/>
  <c r="Q236" s="1"/>
  <c r="O243"/>
  <c r="Q243" s="1"/>
  <c r="O328"/>
  <c r="Q328" s="1"/>
  <c r="O364"/>
  <c r="Q364" s="1"/>
  <c r="P21" i="5"/>
  <c r="R21" s="1"/>
  <c r="P25"/>
  <c r="R25" s="1"/>
  <c r="P37"/>
  <c r="R37" s="1"/>
  <c r="P39"/>
  <c r="R39" s="1"/>
  <c r="O157" i="1"/>
  <c r="Q157" s="1"/>
  <c r="O213"/>
  <c r="Q213" s="1"/>
  <c r="O329"/>
  <c r="Q329" s="1"/>
  <c r="P27" i="5"/>
  <c r="R27" s="1"/>
  <c r="O20" i="1"/>
  <c r="Q20" s="1"/>
  <c r="O40"/>
  <c r="Q40" s="1"/>
  <c r="O47"/>
  <c r="Q47" s="1"/>
  <c r="O48"/>
  <c r="Q48" s="1"/>
  <c r="O66"/>
  <c r="Q66" s="1"/>
  <c r="O74"/>
  <c r="Q74" s="1"/>
  <c r="O138"/>
  <c r="Q138" s="1"/>
  <c r="O142"/>
  <c r="Q142" s="1"/>
  <c r="O146"/>
  <c r="Q146" s="1"/>
  <c r="O150"/>
  <c r="Q150" s="1"/>
  <c r="O154"/>
  <c r="Q154" s="1"/>
  <c r="O196"/>
  <c r="Q196" s="1"/>
  <c r="O204"/>
  <c r="Q204" s="1"/>
  <c r="O212"/>
  <c r="Q212" s="1"/>
  <c r="O239"/>
  <c r="Q239" s="1"/>
  <c r="O242"/>
  <c r="Q242" s="1"/>
  <c r="O246"/>
  <c r="Q246" s="1"/>
  <c r="R254"/>
  <c r="T254" s="1"/>
  <c r="R256"/>
  <c r="T256" s="1"/>
  <c r="R258"/>
  <c r="T258" s="1"/>
  <c r="R260"/>
  <c r="T260" s="1"/>
  <c r="R262"/>
  <c r="T262" s="1"/>
  <c r="R264"/>
  <c r="T264" s="1"/>
  <c r="R266"/>
  <c r="T266" s="1"/>
  <c r="R268"/>
  <c r="T268" s="1"/>
  <c r="R270"/>
  <c r="T270" s="1"/>
  <c r="R272"/>
  <c r="T272" s="1"/>
  <c r="R274"/>
  <c r="T274" s="1"/>
  <c r="O303"/>
  <c r="Q303" s="1"/>
  <c r="O330"/>
  <c r="Q330" s="1"/>
  <c r="O350"/>
  <c r="Q350" s="1"/>
  <c r="O354"/>
  <c r="Q354" s="1"/>
  <c r="O362"/>
  <c r="Q362" s="1"/>
  <c r="R371"/>
  <c r="T371" s="1"/>
  <c r="R372"/>
  <c r="T372" s="1"/>
  <c r="R376"/>
  <c r="T376" s="1"/>
  <c r="P17" i="5"/>
  <c r="R17" s="1"/>
  <c r="P84"/>
  <c r="R84" s="1"/>
  <c r="P86"/>
  <c r="R86" s="1"/>
  <c r="O18" i="1"/>
  <c r="Q18" s="1"/>
  <c r="O194"/>
  <c r="Q194" s="1"/>
  <c r="O45"/>
  <c r="Q45" s="1"/>
  <c r="O71"/>
  <c r="Q71" s="1"/>
  <c r="O15"/>
  <c r="Q15" s="1"/>
  <c r="O22"/>
  <c r="Q22" s="1"/>
  <c r="O23"/>
  <c r="Q23" s="1"/>
  <c r="O43"/>
  <c r="Q43" s="1"/>
  <c r="O51"/>
  <c r="Q51" s="1"/>
  <c r="O91"/>
  <c r="Q91" s="1"/>
  <c r="R108"/>
  <c r="T108" s="1"/>
  <c r="R109"/>
  <c r="T109" s="1"/>
  <c r="R111"/>
  <c r="T111" s="1"/>
  <c r="R113"/>
  <c r="T113" s="1"/>
  <c r="R114"/>
  <c r="T114" s="1"/>
  <c r="R115"/>
  <c r="T115" s="1"/>
  <c r="R116"/>
  <c r="T116" s="1"/>
  <c r="R117"/>
  <c r="T117" s="1"/>
  <c r="R119"/>
  <c r="T119" s="1"/>
  <c r="O135"/>
  <c r="Q135" s="1"/>
  <c r="O168"/>
  <c r="Q168" s="1"/>
  <c r="O203"/>
  <c r="Q203" s="1"/>
  <c r="O211"/>
  <c r="Q211" s="1"/>
  <c r="O215"/>
  <c r="Q215" s="1"/>
  <c r="O225"/>
  <c r="Q225" s="1"/>
  <c r="O229"/>
  <c r="Q229" s="1"/>
  <c r="O233"/>
  <c r="Q233" s="1"/>
  <c r="O293"/>
  <c r="Q293" s="1"/>
  <c r="O340"/>
  <c r="Q340" s="1"/>
  <c r="O352"/>
  <c r="Q352" s="1"/>
  <c r="O361"/>
  <c r="Q361" s="1"/>
  <c r="P42" i="5"/>
  <c r="R42" s="1"/>
  <c r="J15" i="7"/>
  <c r="L15" s="1"/>
  <c r="J16"/>
  <c r="L16" s="1"/>
  <c r="O73" i="1"/>
  <c r="Q73" s="1"/>
  <c r="O88"/>
  <c r="Q88" s="1"/>
  <c r="O96"/>
  <c r="Q96" s="1"/>
  <c r="O170"/>
  <c r="Q170" s="1"/>
  <c r="O176"/>
  <c r="Q176" s="1"/>
  <c r="O178"/>
  <c r="Q178" s="1"/>
  <c r="O184"/>
  <c r="Q184" s="1"/>
  <c r="O186"/>
  <c r="Q186" s="1"/>
  <c r="O198"/>
  <c r="Q198" s="1"/>
  <c r="O206"/>
  <c r="Q206" s="1"/>
  <c r="O227"/>
  <c r="Q227" s="1"/>
  <c r="O240"/>
  <c r="Q240" s="1"/>
  <c r="O244"/>
  <c r="Q244" s="1"/>
  <c r="O286"/>
  <c r="Q286" s="1"/>
  <c r="O287"/>
  <c r="Q287" s="1"/>
  <c r="O294"/>
  <c r="Q294" s="1"/>
  <c r="O309"/>
  <c r="Q309" s="1"/>
  <c r="O327"/>
  <c r="Q327" s="1"/>
  <c r="O331"/>
  <c r="Q331" s="1"/>
  <c r="O332"/>
  <c r="Q332" s="1"/>
  <c r="O341"/>
  <c r="Q341" s="1"/>
  <c r="O41"/>
  <c r="Q41" s="1"/>
  <c r="O75"/>
  <c r="Q75" s="1"/>
  <c r="O136"/>
  <c r="Q136" s="1"/>
  <c r="O230"/>
  <c r="Q230" s="1"/>
  <c r="O199"/>
  <c r="Q199" s="1"/>
  <c r="O17"/>
  <c r="Q17" s="1"/>
  <c r="O42"/>
  <c r="Q42" s="1"/>
  <c r="O50"/>
  <c r="Q50" s="1"/>
  <c r="O65"/>
  <c r="Q65" s="1"/>
  <c r="O16"/>
  <c r="Q16" s="1"/>
  <c r="O19"/>
  <c r="Q19" s="1"/>
  <c r="O24"/>
  <c r="Q24" s="1"/>
  <c r="O27"/>
  <c r="Q27" s="1"/>
  <c r="O44"/>
  <c r="Q44" s="1"/>
  <c r="O52"/>
  <c r="Q52" s="1"/>
  <c r="O64"/>
  <c r="Q64" s="1"/>
  <c r="O72"/>
  <c r="Q72" s="1"/>
  <c r="O87"/>
  <c r="Q87" s="1"/>
  <c r="O90"/>
  <c r="Q90" s="1"/>
  <c r="O95"/>
  <c r="Q95" s="1"/>
  <c r="O98"/>
  <c r="Q98" s="1"/>
  <c r="R112"/>
  <c r="T112" s="1"/>
  <c r="R120"/>
  <c r="T120" s="1"/>
  <c r="O137"/>
  <c r="Q137" s="1"/>
  <c r="O139"/>
  <c r="Q139" s="1"/>
  <c r="O145"/>
  <c r="Q145" s="1"/>
  <c r="O147"/>
  <c r="Q147" s="1"/>
  <c r="O153"/>
  <c r="Q153" s="1"/>
  <c r="O155"/>
  <c r="Q155" s="1"/>
  <c r="O167"/>
  <c r="Q167" s="1"/>
  <c r="O175"/>
  <c r="Q175" s="1"/>
  <c r="O183"/>
  <c r="Q183" s="1"/>
  <c r="O195"/>
  <c r="Q195" s="1"/>
  <c r="O214"/>
  <c r="Q214" s="1"/>
  <c r="O224"/>
  <c r="Q224" s="1"/>
  <c r="O226"/>
  <c r="Q226" s="1"/>
  <c r="O234"/>
  <c r="Q234" s="1"/>
  <c r="O235"/>
  <c r="Q235" s="1"/>
  <c r="O238"/>
  <c r="Q238" s="1"/>
  <c r="R253"/>
  <c r="T253" s="1"/>
  <c r="R255"/>
  <c r="T255" s="1"/>
  <c r="R257"/>
  <c r="T257" s="1"/>
  <c r="R259"/>
  <c r="T259" s="1"/>
  <c r="R261"/>
  <c r="T261" s="1"/>
  <c r="R263"/>
  <c r="T263" s="1"/>
  <c r="R265"/>
  <c r="T265" s="1"/>
  <c r="R267"/>
  <c r="T267" s="1"/>
  <c r="R269"/>
  <c r="T269" s="1"/>
  <c r="R271"/>
  <c r="T271" s="1"/>
  <c r="R273"/>
  <c r="T273" s="1"/>
  <c r="R275"/>
  <c r="T275" s="1"/>
  <c r="O311"/>
  <c r="Q311" s="1"/>
  <c r="R316"/>
  <c r="T316" s="1"/>
  <c r="R317"/>
  <c r="T317" s="1"/>
  <c r="R318"/>
  <c r="T318" s="1"/>
  <c r="O363"/>
  <c r="Q363" s="1"/>
  <c r="O366"/>
  <c r="Q366" s="1"/>
  <c r="R373"/>
  <c r="T373" s="1"/>
  <c r="R374"/>
  <c r="T374" s="1"/>
  <c r="R375"/>
  <c r="T375" s="1"/>
  <c r="O63"/>
  <c r="Q63" s="1"/>
  <c r="O202"/>
  <c r="Q202" s="1"/>
  <c r="O288"/>
  <c r="Q288" s="1"/>
  <c r="O295"/>
  <c r="Q295" s="1"/>
  <c r="O25"/>
  <c r="Q25" s="1"/>
  <c r="O21"/>
  <c r="Q21" s="1"/>
  <c r="O46"/>
  <c r="Q46" s="1"/>
  <c r="O69"/>
  <c r="Q69" s="1"/>
  <c r="O92"/>
  <c r="Q92" s="1"/>
  <c r="R110"/>
  <c r="T110" s="1"/>
  <c r="R118"/>
  <c r="T118" s="1"/>
  <c r="O144"/>
  <c r="Q144" s="1"/>
  <c r="O152"/>
  <c r="Q152" s="1"/>
  <c r="O164"/>
  <c r="Q164" s="1"/>
  <c r="O172"/>
  <c r="Q172" s="1"/>
  <c r="O174"/>
  <c r="Q174" s="1"/>
  <c r="O180"/>
  <c r="Q180" s="1"/>
  <c r="O182"/>
  <c r="Q182" s="1"/>
  <c r="O200"/>
  <c r="Q200" s="1"/>
  <c r="O208"/>
  <c r="Q208" s="1"/>
  <c r="O210"/>
  <c r="Q210" s="1"/>
  <c r="O216"/>
  <c r="Q216" s="1"/>
  <c r="O231"/>
  <c r="Q231" s="1"/>
  <c r="O237"/>
  <c r="Q237" s="1"/>
  <c r="O241"/>
  <c r="Q241" s="1"/>
  <c r="O245"/>
  <c r="Q245" s="1"/>
  <c r="O301"/>
  <c r="Q301" s="1"/>
  <c r="O302"/>
  <c r="Q302" s="1"/>
  <c r="O310"/>
  <c r="Q310" s="1"/>
  <c r="O344"/>
  <c r="Q344" s="1"/>
  <c r="O353"/>
  <c r="Q353" s="1"/>
  <c r="O49"/>
  <c r="Q49" s="1"/>
  <c r="O67"/>
  <c r="Q67" s="1"/>
  <c r="P19" i="5"/>
  <c r="R19" s="1"/>
  <c r="P41"/>
  <c r="R41" s="1"/>
  <c r="P53"/>
  <c r="R53" s="1"/>
  <c r="P23"/>
  <c r="R23" s="1"/>
  <c r="P85"/>
  <c r="R85" s="1"/>
  <c r="R87" s="1"/>
  <c r="P22"/>
  <c r="R22" s="1"/>
  <c r="P26"/>
  <c r="R26" s="1"/>
  <c r="P38"/>
  <c r="R38" s="1"/>
  <c r="P40"/>
  <c r="R40" s="1"/>
  <c r="P58"/>
  <c r="R58" s="1"/>
  <c r="P60"/>
  <c r="R60" s="1"/>
  <c r="P62"/>
  <c r="R62" s="1"/>
  <c r="P64"/>
  <c r="R64" s="1"/>
  <c r="P66"/>
  <c r="R66" s="1"/>
  <c r="P68"/>
  <c r="R68" s="1"/>
  <c r="P70"/>
  <c r="R70" s="1"/>
  <c r="P72"/>
  <c r="R72" s="1"/>
  <c r="P74"/>
  <c r="R74" s="1"/>
  <c r="P55"/>
  <c r="R55" s="1"/>
  <c r="P20"/>
  <c r="R20" s="1"/>
  <c r="P24"/>
  <c r="R24" s="1"/>
  <c r="P28"/>
  <c r="R28" s="1"/>
  <c r="P57"/>
  <c r="R57" s="1"/>
  <c r="P59"/>
  <c r="R59" s="1"/>
  <c r="P61"/>
  <c r="R61" s="1"/>
  <c r="P63"/>
  <c r="R63" s="1"/>
  <c r="P65"/>
  <c r="R65" s="1"/>
  <c r="P67"/>
  <c r="R67" s="1"/>
  <c r="P69"/>
  <c r="R69" s="1"/>
  <c r="P71"/>
  <c r="R71" s="1"/>
  <c r="P73"/>
  <c r="R73" s="1"/>
  <c r="P75"/>
  <c r="R75" s="1"/>
  <c r="P18"/>
  <c r="R18" s="1"/>
  <c r="J14" i="7"/>
  <c r="L14" s="1"/>
  <c r="J34"/>
  <c r="L34" s="1"/>
  <c r="J35"/>
  <c r="L35" s="1"/>
  <c r="J36"/>
  <c r="L36" s="1"/>
  <c r="J37"/>
  <c r="L37" s="1"/>
  <c r="J38"/>
  <c r="L38" s="1"/>
  <c r="J39"/>
  <c r="L39" s="1"/>
  <c r="J40"/>
  <c r="L40" s="1"/>
  <c r="J41"/>
  <c r="L41" s="1"/>
  <c r="J42"/>
  <c r="L42" s="1"/>
  <c r="J43"/>
  <c r="L43" s="1"/>
  <c r="J44"/>
  <c r="L44" s="1"/>
  <c r="J45"/>
  <c r="L45" s="1"/>
  <c r="J46"/>
  <c r="L46" s="1"/>
  <c r="J47"/>
  <c r="L47" s="1"/>
  <c r="J48"/>
  <c r="L48" s="1"/>
  <c r="J49"/>
  <c r="L49" s="1"/>
  <c r="J50"/>
  <c r="L50" s="1"/>
  <c r="J51"/>
  <c r="L51" s="1"/>
  <c r="J52"/>
  <c r="L52" s="1"/>
  <c r="J53"/>
  <c r="L53" s="1"/>
  <c r="J54"/>
  <c r="L54" s="1"/>
  <c r="J55"/>
  <c r="L55" s="1"/>
  <c r="J56"/>
  <c r="L56" s="1"/>
  <c r="J76"/>
  <c r="L76" s="1"/>
  <c r="J77"/>
  <c r="L77" s="1"/>
  <c r="J78"/>
  <c r="L78" s="1"/>
  <c r="J79"/>
  <c r="L79" s="1"/>
  <c r="J80"/>
  <c r="L80" s="1"/>
  <c r="J81"/>
  <c r="L81" s="1"/>
  <c r="J17"/>
  <c r="L17" s="1"/>
  <c r="J18"/>
  <c r="L18" s="1"/>
  <c r="J19"/>
  <c r="L19" s="1"/>
  <c r="J20"/>
  <c r="L20" s="1"/>
  <c r="J21"/>
  <c r="L21" s="1"/>
  <c r="J22"/>
  <c r="L22" s="1"/>
  <c r="J23"/>
  <c r="L23" s="1"/>
  <c r="J24"/>
  <c r="L24" s="1"/>
  <c r="J25"/>
  <c r="L25" s="1"/>
  <c r="J26"/>
  <c r="L26" s="1"/>
  <c r="J64"/>
  <c r="L64" s="1"/>
  <c r="J65"/>
  <c r="L65" s="1"/>
  <c r="J66"/>
  <c r="L66" s="1"/>
  <c r="T121" i="1" l="1"/>
  <c r="Q296"/>
  <c r="T377"/>
  <c r="Q367"/>
  <c r="Q99"/>
  <c r="Q31"/>
  <c r="Q345"/>
  <c r="R43" i="5"/>
  <c r="Q356" i="1"/>
  <c r="Q160"/>
  <c r="R29" i="5"/>
  <c r="Q219" i="1"/>
  <c r="Q53"/>
  <c r="Q333"/>
  <c r="T319"/>
  <c r="L67" i="7"/>
  <c r="L82"/>
  <c r="L27"/>
  <c r="R76" i="5"/>
  <c r="Q304" i="1"/>
  <c r="Q312"/>
  <c r="L57" i="7"/>
  <c r="Q76" i="1"/>
  <c r="Q249"/>
  <c r="Q289"/>
  <c r="Q189"/>
  <c r="T278"/>
  <c r="T320" l="1"/>
  <c r="R88" i="5"/>
  <c r="T279" i="1"/>
  <c r="T378"/>
  <c r="T122"/>
  <c r="L83" i="7"/>
  <c r="T379" i="1" l="1"/>
  <c r="T381" s="1"/>
</calcChain>
</file>

<file path=xl/sharedStrings.xml><?xml version="1.0" encoding="utf-8"?>
<sst xmlns="http://schemas.openxmlformats.org/spreadsheetml/2006/main" count="1673" uniqueCount="329">
  <si>
    <t>AZUL PERIODO REGULAR 2026</t>
  </si>
  <si>
    <t xml:space="preserve">ORDEN DE COMPRA </t>
  </si>
  <si>
    <t>FECHA:</t>
  </si>
  <si>
    <t>FRUTAS Y VERDURAS:</t>
  </si>
  <si>
    <t>PROVEEDOR: FERNANDEZ ( LA PUNTUAL)</t>
  </si>
  <si>
    <t xml:space="preserve">EP 1 </t>
  </si>
  <si>
    <t>EP 7</t>
  </si>
  <si>
    <t xml:space="preserve">EP 9 </t>
  </si>
  <si>
    <t xml:space="preserve">EP 13 </t>
  </si>
  <si>
    <t xml:space="preserve">EP 14 </t>
  </si>
  <si>
    <t xml:space="preserve">EP 16  </t>
  </si>
  <si>
    <t>EP 17</t>
  </si>
  <si>
    <t xml:space="preserve">EP 18 </t>
  </si>
  <si>
    <t xml:space="preserve">EP 19 </t>
  </si>
  <si>
    <t xml:space="preserve">EP 21 </t>
  </si>
  <si>
    <t xml:space="preserve">EP 22 </t>
  </si>
  <si>
    <t>EP24 JIR7</t>
  </si>
  <si>
    <t xml:space="preserve">EP25 JIR 4 </t>
  </si>
  <si>
    <t>PRECIO</t>
  </si>
  <si>
    <t>PESOS X PRODUCTO</t>
  </si>
  <si>
    <t>MANZANA</t>
  </si>
  <si>
    <t xml:space="preserve">BANANA </t>
  </si>
  <si>
    <t>NARANJA  O MANDARINA</t>
  </si>
  <si>
    <t xml:space="preserve">PERA </t>
  </si>
  <si>
    <t>Zapallo ANCO</t>
  </si>
  <si>
    <t xml:space="preserve">Zapallo verde </t>
  </si>
  <si>
    <t xml:space="preserve">Papa </t>
  </si>
  <si>
    <t>Cebolla</t>
  </si>
  <si>
    <t>Zanahoria</t>
  </si>
  <si>
    <t xml:space="preserve">Tomate </t>
  </si>
  <si>
    <t>Ajo</t>
  </si>
  <si>
    <t xml:space="preserve">Perejil </t>
  </si>
  <si>
    <t xml:space="preserve">Huevo de gallina x doc </t>
  </si>
  <si>
    <t>TOTAL</t>
  </si>
  <si>
    <t>EP 26</t>
  </si>
  <si>
    <t xml:space="preserve">EP 27 </t>
  </si>
  <si>
    <t>EP 33</t>
  </si>
  <si>
    <t>EP36 JIR2</t>
  </si>
  <si>
    <t>EP 37</t>
  </si>
  <si>
    <t>EP38 JIR15</t>
  </si>
  <si>
    <t>EP39 JIR10</t>
  </si>
  <si>
    <t>EP 41</t>
  </si>
  <si>
    <t>EP 43</t>
  </si>
  <si>
    <t>EP50 JIR 13</t>
  </si>
  <si>
    <t>EP 53</t>
  </si>
  <si>
    <t>EP 55</t>
  </si>
  <si>
    <t>EP57 JIR 11</t>
  </si>
  <si>
    <t>EP 62</t>
  </si>
  <si>
    <t>EP 64</t>
  </si>
  <si>
    <t>EP 65</t>
  </si>
  <si>
    <t>EP 66</t>
  </si>
  <si>
    <t>Ins. San</t>
  </si>
  <si>
    <t>EES 7</t>
  </si>
  <si>
    <t>EES 8</t>
  </si>
  <si>
    <t>EES 9</t>
  </si>
  <si>
    <t>EES 10</t>
  </si>
  <si>
    <t>EES 11</t>
  </si>
  <si>
    <t xml:space="preserve">EES 12 </t>
  </si>
  <si>
    <t>PRIM</t>
  </si>
  <si>
    <t>EP 36</t>
  </si>
  <si>
    <t>EP 18</t>
  </si>
  <si>
    <t>EP 14</t>
  </si>
  <si>
    <t>EP 27</t>
  </si>
  <si>
    <t>EES 12</t>
  </si>
  <si>
    <t>EEST 1</t>
  </si>
  <si>
    <t>EEST 2</t>
  </si>
  <si>
    <t>SAN FCO</t>
  </si>
  <si>
    <t>CEPT 31</t>
  </si>
  <si>
    <t>CFI 1</t>
  </si>
  <si>
    <t>VIVENCIAS</t>
  </si>
  <si>
    <t>CADRAL</t>
  </si>
  <si>
    <t>CEC 802</t>
  </si>
  <si>
    <t>SEC</t>
  </si>
  <si>
    <t>JI 901</t>
  </si>
  <si>
    <t>JI 902</t>
  </si>
  <si>
    <t>JI 905</t>
  </si>
  <si>
    <t>JI 906</t>
  </si>
  <si>
    <t>JI 907</t>
  </si>
  <si>
    <t>JI 908</t>
  </si>
  <si>
    <t>JI 909</t>
  </si>
  <si>
    <t>JI 910</t>
  </si>
  <si>
    <t>JI 912</t>
  </si>
  <si>
    <t>JI 913</t>
  </si>
  <si>
    <t>JI 914</t>
  </si>
  <si>
    <t>JI 915</t>
  </si>
  <si>
    <t xml:space="preserve">JI 916 </t>
  </si>
  <si>
    <t>JI 917</t>
  </si>
  <si>
    <t>JI 918</t>
  </si>
  <si>
    <t>JI 919</t>
  </si>
  <si>
    <t>TOTAL FRUT Y VERD</t>
  </si>
  <si>
    <t>LACTEOS Y SECOS -</t>
  </si>
  <si>
    <t xml:space="preserve">AZUL- PROVEEDOR  TUX SA- LACTEOS Y SECOS- PEDIDO SEMANAL- </t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</si>
  <si>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</si>
  <si>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</si>
  <si>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</si>
  <si>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t>Cacao en polvo x 360 g</t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</si>
  <si>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</si>
  <si>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</si>
  <si>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t>Queso cuartirolo cx kg</t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</si>
  <si>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</si>
  <si>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</si>
  <si>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</si>
  <si>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</si>
  <si>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</si>
  <si>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</si>
  <si>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t>Condimento para pizza x 25 gr</t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</si>
  <si>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</si>
  <si>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</si>
  <si>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t>Tomate triturado tetrabrik x 500g</t>
  </si>
  <si>
    <t>Pan rallado x kg</t>
  </si>
  <si>
    <t>Almidon de maiz x 500 g</t>
  </si>
  <si>
    <t>Esencia de vainilla x 100 cc</t>
  </si>
  <si>
    <t>Harina Leudante x kg</t>
  </si>
  <si>
    <t>Harina 000 x kg</t>
  </si>
  <si>
    <t>Levadura seca x 20 gr</t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</si>
  <si>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</si>
  <si>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</si>
  <si>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</si>
  <si>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</si>
  <si>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</si>
  <si>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</si>
  <si>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</si>
  <si>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</si>
  <si>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</si>
  <si>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</si>
  <si>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</si>
  <si>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</si>
  <si>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</si>
  <si>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</si>
  <si>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</si>
  <si>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</si>
  <si>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</si>
  <si>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</si>
  <si>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</si>
  <si>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</si>
  <si>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</si>
  <si>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</si>
  <si>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</si>
  <si>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</si>
  <si>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</si>
  <si>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</si>
  <si>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</si>
  <si>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</si>
  <si>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</si>
  <si>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</si>
  <si>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</si>
  <si>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</si>
  <si>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</si>
  <si>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</si>
  <si>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</si>
  <si>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</si>
  <si>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</si>
  <si>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</si>
  <si>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</si>
  <si>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</si>
  <si>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</si>
  <si>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</si>
  <si>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</si>
  <si>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</si>
  <si>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</si>
  <si>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</si>
  <si>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</si>
  <si>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</si>
  <si>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</si>
  <si>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</si>
  <si>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</si>
  <si>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</si>
  <si>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t>TOTAL LAC Y SECOS</t>
  </si>
  <si>
    <t>CARNE-</t>
  </si>
  <si>
    <t xml:space="preserve">PROVEEDOR ALVAREZ (LA SOÑADA)  y FURIO 1° RENGLON- </t>
  </si>
  <si>
    <t>PULPA DE CERDO fileteada por Kg.</t>
  </si>
  <si>
    <t>POLLO por Kg.</t>
  </si>
  <si>
    <t>NALGA CERDO fileteada para milanesa por Kg.</t>
  </si>
  <si>
    <t>PULPA DE CERDO fileteada x Kg.</t>
  </si>
  <si>
    <t>PATIOS</t>
  </si>
  <si>
    <t>TOTAL CARNE</t>
  </si>
  <si>
    <t>PAN</t>
  </si>
  <si>
    <t>ABIERTOS</t>
  </si>
  <si>
    <t>PROVEEDOR TESTA</t>
  </si>
  <si>
    <t xml:space="preserve">1KG POR </t>
  </si>
  <si>
    <t>SABADO</t>
  </si>
  <si>
    <t>PESOSxPRODUCTO</t>
  </si>
  <si>
    <t>LUNES</t>
  </si>
  <si>
    <t>MARTES</t>
  </si>
  <si>
    <t>MIERCOLES</t>
  </si>
  <si>
    <t>JUEVES</t>
  </si>
  <si>
    <t>VIERNES</t>
  </si>
  <si>
    <t xml:space="preserve">PAN RALLADOviernes </t>
  </si>
  <si>
    <t>TOTAL PAN</t>
  </si>
  <si>
    <t>TOTAL OC</t>
  </si>
  <si>
    <t>TOTAL FINAL OC</t>
  </si>
  <si>
    <t xml:space="preserve">AZUL- PROVEEDOR TUX SA - LACTEOS Y SECOS- PEDIDO SEMANAL- </t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</si>
  <si>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</si>
  <si>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</si>
  <si>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</si>
  <si>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</si>
  <si>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</si>
  <si>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</si>
  <si>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</si>
  <si>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</si>
  <si>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</si>
  <si>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</si>
  <si>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</si>
  <si>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</si>
  <si>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</si>
  <si>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t>GALLETAS MARINERA SIN SAL X 300 G</t>
  </si>
  <si>
    <t>LECHE DESLACTOSADA X L</t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</si>
  <si>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</si>
  <si>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</si>
  <si>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</si>
  <si>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</si>
  <si>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</si>
  <si>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</si>
  <si>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</si>
  <si>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</si>
  <si>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</si>
  <si>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</si>
  <si>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</si>
  <si>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</si>
  <si>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</si>
  <si>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</si>
  <si>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</si>
  <si>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</si>
  <si>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</si>
  <si>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</si>
  <si>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</si>
  <si>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</si>
  <si>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</si>
  <si>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</si>
  <si>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</si>
  <si>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</si>
  <si>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</si>
  <si>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</si>
  <si>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</si>
  <si>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</si>
  <si>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</si>
  <si>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</si>
  <si>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</si>
  <si>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t>Queso cuartirolo x kg</t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</si>
  <si>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</si>
  <si>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</si>
  <si>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</si>
  <si>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</si>
  <si>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</si>
  <si>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</si>
  <si>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</si>
  <si>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</si>
  <si>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</si>
  <si>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</si>
  <si>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</si>
  <si>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</si>
  <si>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</si>
  <si>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</si>
  <si>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</si>
  <si>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</si>
  <si>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</si>
  <si>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</si>
  <si>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</si>
  <si>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</si>
  <si>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</si>
  <si>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t xml:space="preserve">PROVEEDOR ALVAREZ (LA SOÑADA) y FURIO 1° RENGLON - </t>
  </si>
  <si>
    <t>CACHARI PERIODO REGULAR 2026</t>
  </si>
  <si>
    <t>PROVEEDOR: CAPPUCCIO LUIS-</t>
  </si>
  <si>
    <t>J904</t>
  </si>
  <si>
    <t>EP4</t>
  </si>
  <si>
    <t>EP5+JIR 5</t>
  </si>
  <si>
    <t>EP6</t>
  </si>
  <si>
    <t>EP23</t>
  </si>
  <si>
    <t>EP29</t>
  </si>
  <si>
    <t>EP31</t>
  </si>
  <si>
    <t>EP32</t>
  </si>
  <si>
    <t>EP34</t>
  </si>
  <si>
    <t>EP44</t>
  </si>
  <si>
    <t>EP59</t>
  </si>
  <si>
    <t>CEC801</t>
  </si>
  <si>
    <t>EEE506</t>
  </si>
  <si>
    <t>EES2</t>
  </si>
  <si>
    <t>DMC</t>
  </si>
  <si>
    <t>COM</t>
  </si>
  <si>
    <t>PESOS POR PRODUCTO</t>
  </si>
  <si>
    <t xml:space="preserve">TOTAL </t>
  </si>
  <si>
    <t>PROVEEDOR :  CIVALE -</t>
  </si>
  <si>
    <t>PAN RALLADO - VIERNES</t>
  </si>
  <si>
    <t>PROVEEDOR DISTRIBUIDORA PATO -GALLEGOS - LACTEOS Y SECOS</t>
  </si>
  <si>
    <t xml:space="preserve">Leche fluida x litro  </t>
  </si>
  <si>
    <t xml:space="preserve">Azucar kg </t>
  </si>
  <si>
    <t xml:space="preserve">Té en saquito x 25 u </t>
  </si>
  <si>
    <t xml:space="preserve">Dulce de leche por 400 gr </t>
  </si>
  <si>
    <t xml:space="preserve">Dulce de batata x kg </t>
  </si>
  <si>
    <t>Queso cremoso x kg</t>
  </si>
  <si>
    <t xml:space="preserve">Aceite girasol por 900 cc </t>
  </si>
  <si>
    <t xml:space="preserve">Arroz 00000 por kg </t>
  </si>
  <si>
    <t xml:space="preserve">Arvejas x 340 gr Tetra Brik </t>
  </si>
  <si>
    <t xml:space="preserve">Lentejas remojadas x 350 gr </t>
  </si>
  <si>
    <t xml:space="preserve">Pimenton x 25 gr </t>
  </si>
  <si>
    <t xml:space="preserve">Oregano x 25 gr </t>
  </si>
  <si>
    <t xml:space="preserve">Sal fina x 500 gr </t>
  </si>
  <si>
    <t xml:space="preserve">Fideo tirabuzòn x 500 g </t>
  </si>
  <si>
    <t xml:space="preserve">Tomate triturado en tetrabrik x 500 gr </t>
  </si>
  <si>
    <t xml:space="preserve">CARNE </t>
  </si>
  <si>
    <t>PROVEEDOR ALVAREZ (LA SOÑADA)-</t>
  </si>
  <si>
    <t>POLLO por Kg. (x 1,68)</t>
  </si>
  <si>
    <t>PROVEEDOR: CAPPUCCIO-</t>
  </si>
  <si>
    <t>Pan rallado x 500 gr</t>
  </si>
  <si>
    <t>almidon de maiz</t>
  </si>
  <si>
    <t>Levadura seca x 8 gr</t>
  </si>
  <si>
    <t>CHILLAR PERIODO REGULAR 2026</t>
  </si>
  <si>
    <t>PROVEEDOR: FERNANDEZ</t>
  </si>
  <si>
    <t>JI903</t>
  </si>
  <si>
    <t>PP8</t>
  </si>
  <si>
    <t>PP20</t>
  </si>
  <si>
    <t>PP35 JIR14</t>
  </si>
  <si>
    <t>PP56</t>
  </si>
  <si>
    <t>EE507</t>
  </si>
  <si>
    <t>MS3</t>
  </si>
  <si>
    <t>CANDILEJAS</t>
  </si>
  <si>
    <t>PROVEEDOR  GALLEGOS-</t>
  </si>
  <si>
    <t xml:space="preserve"> PROVEEDOR ALVAREZ (LA SOÑADA)</t>
  </si>
  <si>
    <t>PROVEEDOR DE PAN :  MASSON</t>
  </si>
  <si>
    <t>PAN RALLADO viernes</t>
  </si>
  <si>
    <t>PROVEEDOR DISTRIBUIDORA PATO -GALLEGOS - LACTEOS Y SECOS-</t>
  </si>
  <si>
    <t>ALMUERZO</t>
  </si>
  <si>
    <t>DESAYUNO</t>
  </si>
  <si>
    <t>2 SEM</t>
  </si>
  <si>
    <t>1 SEM</t>
  </si>
  <si>
    <t xml:space="preserve">MANZANA O PERA </t>
  </si>
  <si>
    <t>EP 21</t>
  </si>
  <si>
    <t>8 al 12 de junio</t>
  </si>
  <si>
    <t xml:space="preserve">8 KG POR </t>
  </si>
</sst>
</file>

<file path=xl/styles.xml><?xml version="1.0" encoding="utf-8"?>
<styleSheet xmlns="http://schemas.openxmlformats.org/spreadsheetml/2006/main">
  <numFmts count="1">
    <numFmt numFmtId="164" formatCode="_-&quot;$&quot;\ * #,##0.00_-;\-&quot;$&quot;\ * #,##0.00_-;_-&quot;$&quot;\ * &quot;-&quot;??_-;_-@"/>
  </numFmts>
  <fonts count="26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Arial"/>
      <family val="2"/>
    </font>
    <font>
      <sz val="9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7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8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9"/>
      <color theme="1"/>
      <name val="Arial"/>
      <family val="2"/>
    </font>
    <font>
      <sz val="10"/>
      <color theme="1"/>
      <name val="Calibri"/>
      <family val="2"/>
    </font>
    <font>
      <b/>
      <sz val="13"/>
      <color theme="1"/>
      <name val="Calibri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right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0" xfId="0" applyFont="1"/>
    <xf numFmtId="0" fontId="12" fillId="2" borderId="4" xfId="0" applyFont="1" applyFill="1" applyBorder="1" applyAlignment="1">
      <alignment horizontal="right"/>
    </xf>
    <xf numFmtId="2" fontId="9" fillId="0" borderId="0" xfId="0" applyNumberFormat="1" applyFont="1" applyAlignment="1">
      <alignment horizontal="center"/>
    </xf>
    <xf numFmtId="1" fontId="1" fillId="0" borderId="0" xfId="0" applyNumberFormat="1" applyFont="1"/>
    <xf numFmtId="0" fontId="9" fillId="0" borderId="5" xfId="0" applyFont="1" applyBorder="1" applyAlignment="1">
      <alignment wrapText="1"/>
    </xf>
    <xf numFmtId="2" fontId="9" fillId="0" borderId="4" xfId="0" applyNumberFormat="1" applyFont="1" applyBorder="1"/>
    <xf numFmtId="1" fontId="9" fillId="0" borderId="0" xfId="0" applyNumberFormat="1" applyFont="1"/>
    <xf numFmtId="0" fontId="10" fillId="0" borderId="0" xfId="0" applyFont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8" fillId="0" borderId="7" xfId="0" applyFont="1" applyBorder="1" applyAlignment="1">
      <alignment wrapText="1"/>
    </xf>
    <xf numFmtId="0" fontId="8" fillId="0" borderId="7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8" fillId="0" borderId="4" xfId="0" applyFont="1" applyBorder="1"/>
    <xf numFmtId="1" fontId="9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14" fillId="0" borderId="1" xfId="0" applyFont="1" applyBorder="1" applyAlignment="1">
      <alignment wrapText="1"/>
    </xf>
    <xf numFmtId="0" fontId="12" fillId="2" borderId="8" xfId="0" applyFont="1" applyFill="1" applyBorder="1" applyAlignment="1">
      <alignment horizontal="right"/>
    </xf>
    <xf numFmtId="0" fontId="12" fillId="2" borderId="9" xfId="0" applyFont="1" applyFill="1" applyBorder="1" applyAlignment="1">
      <alignment horizontal="right"/>
    </xf>
    <xf numFmtId="0" fontId="15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12" fillId="2" borderId="10" xfId="0" applyFont="1" applyFill="1" applyBorder="1" applyAlignment="1">
      <alignment horizontal="right"/>
    </xf>
    <xf numFmtId="1" fontId="1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center" wrapText="1"/>
    </xf>
    <xf numFmtId="1" fontId="8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left"/>
    </xf>
    <xf numFmtId="0" fontId="3" fillId="0" borderId="0" xfId="0" applyFont="1" applyAlignment="1">
      <alignment wrapText="1"/>
    </xf>
    <xf numFmtId="0" fontId="17" fillId="0" borderId="0" xfId="0" applyFont="1"/>
    <xf numFmtId="0" fontId="9" fillId="0" borderId="0" xfId="0" applyFont="1" applyAlignment="1">
      <alignment wrapText="1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2" fontId="9" fillId="0" borderId="4" xfId="0" applyNumberFormat="1" applyFont="1" applyBorder="1" applyAlignment="1">
      <alignment wrapText="1"/>
    </xf>
    <xf numFmtId="1" fontId="9" fillId="0" borderId="0" xfId="0" applyNumberFormat="1" applyFont="1" applyAlignment="1">
      <alignment wrapText="1"/>
    </xf>
    <xf numFmtId="0" fontId="2" fillId="0" borderId="4" xfId="0" applyFont="1" applyBorder="1"/>
    <xf numFmtId="0" fontId="18" fillId="0" borderId="0" xfId="0" applyFont="1" applyAlignment="1">
      <alignment horizontal="center"/>
    </xf>
    <xf numFmtId="0" fontId="8" fillId="0" borderId="4" xfId="0" applyFont="1" applyBorder="1" applyAlignment="1">
      <alignment wrapText="1"/>
    </xf>
    <xf numFmtId="0" fontId="19" fillId="0" borderId="4" xfId="0" applyFont="1" applyBorder="1" applyAlignment="1">
      <alignment horizontal="center" wrapText="1"/>
    </xf>
    <xf numFmtId="0" fontId="8" fillId="3" borderId="4" xfId="0" applyFont="1" applyFill="1" applyBorder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4" fillId="3" borderId="11" xfId="0" applyFont="1" applyFill="1" applyBorder="1" applyAlignment="1">
      <alignment wrapText="1"/>
    </xf>
    <xf numFmtId="2" fontId="1" fillId="0" borderId="4" xfId="0" applyNumberFormat="1" applyFont="1" applyBorder="1" applyAlignment="1">
      <alignment wrapText="1"/>
    </xf>
    <xf numFmtId="2" fontId="1" fillId="0" borderId="4" xfId="0" applyNumberFormat="1" applyFont="1" applyBorder="1"/>
    <xf numFmtId="2" fontId="9" fillId="0" borderId="0" xfId="0" applyNumberFormat="1" applyFont="1" applyAlignment="1">
      <alignment horizontal="right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0" fontId="10" fillId="0" borderId="0" xfId="0" applyFont="1" applyAlignment="1">
      <alignment horizontal="right" wrapText="1"/>
    </xf>
    <xf numFmtId="0" fontId="15" fillId="0" borderId="0" xfId="0" applyFont="1" applyAlignment="1">
      <alignment horizontal="right" wrapText="1"/>
    </xf>
    <xf numFmtId="0" fontId="4" fillId="0" borderId="0" xfId="0" applyFont="1" applyAlignment="1">
      <alignment horizontal="right"/>
    </xf>
    <xf numFmtId="0" fontId="17" fillId="0" borderId="0" xfId="0" applyFont="1" applyAlignment="1"/>
    <xf numFmtId="0" fontId="20" fillId="0" borderId="5" xfId="0" applyFont="1" applyBorder="1"/>
    <xf numFmtId="0" fontId="1" fillId="0" borderId="4" xfId="0" applyFont="1" applyBorder="1"/>
    <xf numFmtId="0" fontId="9" fillId="0" borderId="0" xfId="0" applyFont="1" applyAlignment="1">
      <alignment horizontal="right"/>
    </xf>
    <xf numFmtId="0" fontId="1" fillId="0" borderId="5" xfId="0" applyFont="1" applyBorder="1"/>
    <xf numFmtId="0" fontId="20" fillId="0" borderId="0" xfId="0" applyFont="1" applyAlignment="1">
      <alignment horizontal="center"/>
    </xf>
    <xf numFmtId="1" fontId="20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/>
    <xf numFmtId="0" fontId="22" fillId="0" borderId="0" xfId="0" applyFont="1"/>
    <xf numFmtId="0" fontId="15" fillId="0" borderId="0" xfId="0" applyFont="1"/>
    <xf numFmtId="0" fontId="8" fillId="4" borderId="12" xfId="0" applyFont="1" applyFill="1" applyBorder="1" applyAlignment="1">
      <alignment horizontal="center"/>
    </xf>
    <xf numFmtId="1" fontId="4" fillId="0" borderId="0" xfId="0" applyNumberFormat="1" applyFont="1"/>
    <xf numFmtId="0" fontId="22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13" fillId="0" borderId="0" xfId="0" applyFont="1"/>
    <xf numFmtId="0" fontId="23" fillId="0" borderId="0" xfId="0" applyFont="1" applyAlignment="1">
      <alignment horizontal="center"/>
    </xf>
    <xf numFmtId="12" fontId="23" fillId="0" borderId="0" xfId="0" applyNumberFormat="1" applyFont="1" applyAlignment="1">
      <alignment horizontal="center"/>
    </xf>
    <xf numFmtId="12" fontId="21" fillId="0" borderId="0" xfId="0" applyNumberFormat="1" applyFont="1" applyAlignment="1">
      <alignment horizontal="center"/>
    </xf>
    <xf numFmtId="12" fontId="2" fillId="5" borderId="12" xfId="0" applyNumberFormat="1" applyFont="1" applyFill="1" applyBorder="1" applyAlignment="1">
      <alignment horizontal="center"/>
    </xf>
    <xf numFmtId="1" fontId="24" fillId="0" borderId="0" xfId="0" applyNumberFormat="1" applyFont="1" applyAlignment="1">
      <alignment horizontal="center"/>
    </xf>
    <xf numFmtId="0" fontId="20" fillId="0" borderId="0" xfId="0" applyFont="1"/>
    <xf numFmtId="0" fontId="10" fillId="0" borderId="0" xfId="0" applyFont="1"/>
    <xf numFmtId="2" fontId="23" fillId="0" borderId="0" xfId="0" applyNumberFormat="1" applyFont="1" applyAlignment="1">
      <alignment horizontal="center"/>
    </xf>
    <xf numFmtId="2" fontId="1" fillId="0" borderId="0" xfId="0" applyNumberFormat="1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164" fontId="1" fillId="0" borderId="0" xfId="0" applyNumberFormat="1" applyFont="1"/>
    <xf numFmtId="1" fontId="9" fillId="0" borderId="4" xfId="0" applyNumberFormat="1" applyFont="1" applyBorder="1"/>
    <xf numFmtId="0" fontId="8" fillId="6" borderId="4" xfId="0" applyFont="1" applyFill="1" applyBorder="1" applyAlignment="1">
      <alignment horizontal="center" wrapText="1"/>
    </xf>
    <xf numFmtId="0" fontId="14" fillId="6" borderId="11" xfId="0" applyFont="1" applyFill="1" applyBorder="1" applyAlignment="1">
      <alignment wrapText="1"/>
    </xf>
    <xf numFmtId="1" fontId="9" fillId="0" borderId="4" xfId="0" applyNumberFormat="1" applyFont="1" applyBorder="1" applyAlignment="1">
      <alignment wrapText="1"/>
    </xf>
    <xf numFmtId="0" fontId="3" fillId="0" borderId="4" xfId="0" applyFont="1" applyBorder="1"/>
    <xf numFmtId="0" fontId="16" fillId="0" borderId="4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1" fontId="1" fillId="0" borderId="4" xfId="0" applyNumberFormat="1" applyFont="1" applyBorder="1" applyAlignment="1">
      <alignment wrapText="1"/>
    </xf>
    <xf numFmtId="0" fontId="9" fillId="0" borderId="5" xfId="0" applyFont="1" applyBorder="1" applyAlignment="1">
      <alignment wrapText="1"/>
    </xf>
    <xf numFmtId="1" fontId="1" fillId="0" borderId="4" xfId="0" applyNumberFormat="1" applyFont="1" applyBorder="1"/>
    <xf numFmtId="1" fontId="1" fillId="0" borderId="1" xfId="0" applyNumberFormat="1" applyFont="1" applyBorder="1"/>
    <xf numFmtId="0" fontId="25" fillId="0" borderId="4" xfId="0" applyFont="1" applyBorder="1"/>
    <xf numFmtId="0" fontId="3" fillId="0" borderId="4" xfId="0" applyFont="1" applyBorder="1" applyAlignment="1">
      <alignment horizontal="right"/>
    </xf>
    <xf numFmtId="0" fontId="6" fillId="2" borderId="4" xfId="0" applyFont="1" applyFill="1" applyBorder="1" applyAlignment="1">
      <alignment horizontal="right"/>
    </xf>
    <xf numFmtId="2" fontId="3" fillId="0" borderId="13" xfId="0" applyNumberFormat="1" applyFont="1" applyBorder="1"/>
    <xf numFmtId="0" fontId="1" fillId="0" borderId="14" xfId="0" applyFont="1" applyBorder="1"/>
    <xf numFmtId="0" fontId="1" fillId="0" borderId="15" xfId="0" applyFont="1" applyBorder="1"/>
    <xf numFmtId="0" fontId="2" fillId="0" borderId="13" xfId="0" applyFont="1" applyBorder="1"/>
    <xf numFmtId="2" fontId="3" fillId="0" borderId="4" xfId="0" applyNumberFormat="1" applyFont="1" applyBorder="1"/>
    <xf numFmtId="2" fontId="3" fillId="0" borderId="1" xfId="0" applyNumberFormat="1" applyFont="1" applyBorder="1"/>
    <xf numFmtId="2" fontId="3" fillId="0" borderId="14" xfId="0" applyNumberFormat="1" applyFont="1" applyBorder="1"/>
    <xf numFmtId="2" fontId="1" fillId="0" borderId="1" xfId="0" applyNumberFormat="1" applyFont="1" applyBorder="1"/>
    <xf numFmtId="0" fontId="3" fillId="4" borderId="12" xfId="0" applyFont="1" applyFill="1" applyBorder="1"/>
    <xf numFmtId="2" fontId="3" fillId="0" borderId="0" xfId="0" applyNumberFormat="1" applyFont="1"/>
    <xf numFmtId="0" fontId="2" fillId="0" borderId="0" xfId="0" applyFont="1" applyAlignment="1"/>
    <xf numFmtId="1" fontId="3" fillId="0" borderId="13" xfId="0" applyNumberFormat="1" applyFont="1" applyBorder="1"/>
    <xf numFmtId="1" fontId="3" fillId="0" borderId="4" xfId="0" applyNumberFormat="1" applyFont="1" applyBorder="1"/>
    <xf numFmtId="1" fontId="3" fillId="0" borderId="1" xfId="0" applyNumberFormat="1" applyFont="1" applyBorder="1"/>
    <xf numFmtId="0" fontId="2" fillId="0" borderId="4" xfId="0" applyFont="1" applyBorder="1" applyAlignment="1">
      <alignment wrapText="1"/>
    </xf>
    <xf numFmtId="0" fontId="2" fillId="0" borderId="15" xfId="0" applyFont="1" applyBorder="1"/>
    <xf numFmtId="0" fontId="2" fillId="0" borderId="5" xfId="0" applyFont="1" applyBorder="1" applyAlignment="1">
      <alignment wrapText="1"/>
    </xf>
    <xf numFmtId="0" fontId="3" fillId="0" borderId="13" xfId="0" applyFont="1" applyBorder="1"/>
    <xf numFmtId="2" fontId="1" fillId="0" borderId="14" xfId="0" applyNumberFormat="1" applyFont="1" applyBorder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1" xfId="0" applyFont="1" applyBorder="1"/>
    <xf numFmtId="0" fontId="3" fillId="0" borderId="1" xfId="0" applyFont="1" applyBorder="1"/>
    <xf numFmtId="0" fontId="12" fillId="2" borderId="15" xfId="0" applyFont="1" applyFill="1" applyBorder="1" applyAlignment="1">
      <alignment horizontal="right"/>
    </xf>
    <xf numFmtId="0" fontId="0" fillId="0" borderId="0" xfId="0" applyAlignment="1"/>
    <xf numFmtId="0" fontId="11" fillId="7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 wrapText="1"/>
    </xf>
    <xf numFmtId="0" fontId="8" fillId="7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wrapText="1"/>
    </xf>
    <xf numFmtId="0" fontId="15" fillId="7" borderId="4" xfId="0" applyFont="1" applyFill="1" applyBorder="1" applyAlignment="1">
      <alignment horizontal="center" wrapText="1"/>
    </xf>
    <xf numFmtId="0" fontId="8" fillId="7" borderId="3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 wrapText="1"/>
    </xf>
    <xf numFmtId="0" fontId="8" fillId="7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wrapText="1"/>
    </xf>
    <xf numFmtId="0" fontId="11" fillId="7" borderId="4" xfId="0" applyFont="1" applyFill="1" applyBorder="1" applyAlignment="1">
      <alignment horizontal="center" wrapText="1"/>
    </xf>
    <xf numFmtId="0" fontId="12" fillId="7" borderId="4" xfId="0" applyFont="1" applyFill="1" applyBorder="1" applyAlignment="1">
      <alignment horizontal="center" wrapText="1"/>
    </xf>
    <xf numFmtId="0" fontId="2" fillId="7" borderId="4" xfId="0" applyFont="1" applyFill="1" applyBorder="1"/>
    <xf numFmtId="0" fontId="8" fillId="7" borderId="4" xfId="0" applyFont="1" applyFill="1" applyBorder="1"/>
    <xf numFmtId="0" fontId="10" fillId="7" borderId="4" xfId="0" applyFont="1" applyFill="1" applyBorder="1"/>
    <xf numFmtId="0" fontId="19" fillId="7" borderId="4" xfId="0" applyFont="1" applyFill="1" applyBorder="1" applyAlignment="1">
      <alignment horizontal="center" wrapText="1"/>
    </xf>
    <xf numFmtId="0" fontId="8" fillId="7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 wrapText="1"/>
    </xf>
    <xf numFmtId="0" fontId="10" fillId="7" borderId="4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0" fontId="0" fillId="0" borderId="0" xfId="0" applyFont="1" applyAlignment="1"/>
    <xf numFmtId="0" fontId="8" fillId="8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1866900</xdr:colOff>
      <xdr:row>0</xdr:row>
      <xdr:rowOff>38100</xdr:rowOff>
    </xdr:from>
    <xdr:ext cx="8791575" cy="914400"/>
    <xdr:pic>
      <xdr:nvPicPr>
        <xdr:cNvPr id="2" name="image1.png" descr="C:\Users\Consejo tes\Downloads\LOGO CONSEJO 2022 (1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8791575" cy="914400"/>
    <xdr:pic>
      <xdr:nvPicPr>
        <xdr:cNvPr id="2" name="image1.png" descr="C:\Users\Consejo tes\Downloads\LOGO CONSEJO 2022 (1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1152525</xdr:colOff>
      <xdr:row>0</xdr:row>
      <xdr:rowOff>47625</xdr:rowOff>
    </xdr:from>
    <xdr:ext cx="8791575" cy="914400"/>
    <xdr:pic>
      <xdr:nvPicPr>
        <xdr:cNvPr id="2" name="image1.png" descr="C:\Users\Consejo tes\Downloads\LOGO CONSEJO 2022 (1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1190625</xdr:colOff>
      <xdr:row>0</xdr:row>
      <xdr:rowOff>0</xdr:rowOff>
    </xdr:from>
    <xdr:ext cx="8791575" cy="914400"/>
    <xdr:pic>
      <xdr:nvPicPr>
        <xdr:cNvPr id="2" name="image1.png" descr="C:\Users\Consejo tes\Downloads\LOGO CONSEJO 2022 (1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76200</xdr:rowOff>
    </xdr:from>
    <xdr:ext cx="8210550" cy="1295400"/>
    <xdr:pic>
      <xdr:nvPicPr>
        <xdr:cNvPr id="2" name="image1.png" descr="C:\Users\Consejo tes\Downloads\LOGO CONSEJO 2022 (1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8210550" cy="1295400"/>
    <xdr:pic>
      <xdr:nvPicPr>
        <xdr:cNvPr id="2" name="image1.png" descr="C:\Users\Consejo tes\Downloads\LOGO CONSEJO 2022 (1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2105025</xdr:colOff>
      <xdr:row>0</xdr:row>
      <xdr:rowOff>9525</xdr:rowOff>
    </xdr:from>
    <xdr:ext cx="8372475" cy="923925"/>
    <xdr:pic>
      <xdr:nvPicPr>
        <xdr:cNvPr id="2" name="image1.png" descr="C:\Users\Consejo tes\Downloads\LOGO CONSEJO 2022 (1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1971675</xdr:colOff>
      <xdr:row>0</xdr:row>
      <xdr:rowOff>57150</xdr:rowOff>
    </xdr:from>
    <xdr:ext cx="8210550" cy="1295400"/>
    <xdr:pic>
      <xdr:nvPicPr>
        <xdr:cNvPr id="2" name="image1.png" descr="C:\Users\Consejo tes\Downloads\LOGO CONSEJO 2022 (1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067"/>
  <sheetViews>
    <sheetView topLeftCell="E367" zoomScale="80" zoomScaleNormal="80" workbookViewId="0">
      <selection activeCell="T381" sqref="T381"/>
    </sheetView>
  </sheetViews>
  <sheetFormatPr baseColWidth="10" defaultColWidth="14.42578125" defaultRowHeight="15" customHeight="1"/>
  <cols>
    <col min="1" max="1" width="40.28515625" customWidth="1"/>
    <col min="2" max="2" width="8.42578125" customWidth="1"/>
    <col min="3" max="3" width="11" customWidth="1"/>
    <col min="4" max="4" width="10.42578125" customWidth="1"/>
    <col min="5" max="5" width="9.5703125" customWidth="1"/>
    <col min="6" max="6" width="11.140625" customWidth="1"/>
    <col min="7" max="7" width="10" customWidth="1"/>
    <col min="8" max="8" width="8" customWidth="1"/>
    <col min="9" max="18" width="11.5703125" customWidth="1"/>
    <col min="19" max="19" width="22.5703125" customWidth="1"/>
    <col min="20" max="20" width="14.5703125" customWidth="1"/>
    <col min="21" max="21" width="11.5703125" customWidth="1"/>
    <col min="22" max="22" width="18.140625" customWidth="1"/>
    <col min="23" max="24" width="10.7109375" customWidth="1"/>
    <col min="25" max="25" width="12.42578125" customWidth="1"/>
    <col min="26" max="27" width="10.7109375" customWidth="1"/>
    <col min="28" max="28" width="14.5703125" customWidth="1"/>
  </cols>
  <sheetData>
    <row r="1" spans="1:28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8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8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8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8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8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8" ht="14.25" customHeight="1">
      <c r="A7" s="2" t="s">
        <v>0</v>
      </c>
      <c r="B7" s="3"/>
      <c r="F7" s="4"/>
      <c r="G7" s="4"/>
      <c r="H7" s="4"/>
      <c r="I7" s="4"/>
      <c r="J7" s="1"/>
      <c r="K7" s="1"/>
      <c r="L7" s="1"/>
      <c r="M7" s="1"/>
      <c r="N7" s="5"/>
      <c r="O7" s="1"/>
      <c r="P7" s="1"/>
      <c r="Q7" s="1"/>
      <c r="R7" s="1"/>
      <c r="S7" s="1"/>
      <c r="T7" s="1"/>
      <c r="U7" s="1"/>
      <c r="V7" s="1"/>
      <c r="W7" s="1"/>
    </row>
    <row r="8" spans="1:28" ht="14.25" customHeight="1">
      <c r="A8" s="167" t="s">
        <v>1</v>
      </c>
      <c r="B8" s="168"/>
      <c r="C8" s="168"/>
      <c r="D8" s="168"/>
      <c r="E8" s="168"/>
      <c r="F8" s="4"/>
      <c r="G8" s="4"/>
      <c r="H8" s="4"/>
      <c r="I8" s="4"/>
      <c r="J8" s="1"/>
      <c r="K8" s="1"/>
      <c r="L8" s="1"/>
      <c r="M8" s="1"/>
      <c r="N8" s="5"/>
      <c r="O8" s="1"/>
      <c r="P8" s="1"/>
      <c r="Q8" s="1"/>
      <c r="R8" s="1"/>
      <c r="S8" s="1"/>
      <c r="T8" s="1"/>
      <c r="U8" s="1"/>
      <c r="V8" s="1"/>
      <c r="W8" s="1"/>
    </row>
    <row r="9" spans="1:28" ht="14.25" customHeight="1">
      <c r="A9" s="167" t="s">
        <v>2</v>
      </c>
      <c r="B9" s="168"/>
      <c r="C9" s="168"/>
      <c r="D9" s="168"/>
      <c r="E9" s="168"/>
      <c r="F9" s="7"/>
      <c r="G9" s="7"/>
      <c r="H9" s="7"/>
      <c r="I9" s="5"/>
      <c r="J9" s="8"/>
      <c r="K9" s="5"/>
      <c r="L9" s="5"/>
      <c r="M9" s="5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4.25" customHeight="1">
      <c r="A10" s="7" t="s">
        <v>3</v>
      </c>
      <c r="B10" s="6"/>
      <c r="C10" s="6"/>
      <c r="D10" s="6"/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9"/>
      <c r="S10" s="9"/>
      <c r="T10" s="10"/>
      <c r="U10" s="11"/>
      <c r="V10" s="1"/>
      <c r="W10" s="1"/>
      <c r="X10" s="1"/>
      <c r="Y10" s="1"/>
      <c r="Z10" s="1"/>
      <c r="AA10" s="1"/>
      <c r="AB10" s="1"/>
    </row>
    <row r="11" spans="1:28" ht="14.25" customHeight="1">
      <c r="A11" s="4" t="s">
        <v>4</v>
      </c>
      <c r="B11" s="6"/>
      <c r="C11" s="6"/>
      <c r="D11" s="6"/>
      <c r="E11" s="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2"/>
      <c r="S11" s="12"/>
      <c r="T11" s="4"/>
      <c r="U11" s="4"/>
      <c r="V11" s="1"/>
      <c r="W11" s="1"/>
      <c r="X11" s="1"/>
      <c r="Y11" s="1"/>
      <c r="Z11" s="1"/>
      <c r="AA11" s="1"/>
      <c r="AB11" s="1"/>
    </row>
    <row r="12" spans="1:28" ht="14.25" customHeight="1">
      <c r="A12" s="13"/>
      <c r="B12" s="14" t="s">
        <v>5</v>
      </c>
      <c r="C12" s="15" t="s">
        <v>6</v>
      </c>
      <c r="D12" s="14" t="s">
        <v>7</v>
      </c>
      <c r="E12" s="14" t="s">
        <v>8</v>
      </c>
      <c r="F12" s="14" t="s">
        <v>9</v>
      </c>
      <c r="G12" s="14" t="s">
        <v>10</v>
      </c>
      <c r="H12" s="14" t="s">
        <v>11</v>
      </c>
      <c r="I12" s="14" t="s">
        <v>12</v>
      </c>
      <c r="J12" s="14" t="s">
        <v>13</v>
      </c>
      <c r="K12" s="14" t="s">
        <v>14</v>
      </c>
      <c r="L12" s="16" t="s">
        <v>15</v>
      </c>
      <c r="M12" s="17" t="s">
        <v>16</v>
      </c>
      <c r="N12" s="17" t="s">
        <v>17</v>
      </c>
      <c r="O12" s="18"/>
      <c r="P12" s="18"/>
      <c r="Q12" s="18"/>
      <c r="R12" s="4"/>
      <c r="S12" s="4"/>
      <c r="T12" s="4"/>
      <c r="U12" s="4"/>
      <c r="V12" s="1"/>
      <c r="W12" s="1"/>
      <c r="X12" s="1"/>
      <c r="Y12" s="1"/>
      <c r="Z12" s="1"/>
      <c r="AA12" s="1"/>
      <c r="AB12" s="1"/>
    </row>
    <row r="13" spans="1:28" ht="14.25" customHeight="1">
      <c r="A13" s="13"/>
      <c r="B13" s="19">
        <v>94</v>
      </c>
      <c r="C13" s="19">
        <v>101</v>
      </c>
      <c r="D13" s="19">
        <v>6</v>
      </c>
      <c r="E13" s="19">
        <v>164</v>
      </c>
      <c r="F13" s="19">
        <v>90</v>
      </c>
      <c r="G13" s="19">
        <v>28</v>
      </c>
      <c r="H13" s="19">
        <v>27</v>
      </c>
      <c r="I13" s="19">
        <v>71</v>
      </c>
      <c r="J13" s="19">
        <v>148</v>
      </c>
      <c r="K13" s="19">
        <v>86</v>
      </c>
      <c r="L13" s="19">
        <v>92</v>
      </c>
      <c r="M13" s="19">
        <v>13</v>
      </c>
      <c r="N13" s="19">
        <v>22</v>
      </c>
      <c r="O13" s="18"/>
      <c r="P13" s="18"/>
      <c r="Q13" s="18"/>
      <c r="R13" s="20"/>
      <c r="S13" s="20"/>
      <c r="T13" s="20"/>
      <c r="U13" s="20"/>
      <c r="V13" s="21"/>
      <c r="W13" s="1"/>
      <c r="X13" s="1"/>
      <c r="Y13" s="1"/>
      <c r="Z13" s="1"/>
      <c r="AA13" s="1"/>
      <c r="AB13" s="1"/>
    </row>
    <row r="14" spans="1:28" ht="14.25" customHeight="1">
      <c r="A14" s="18"/>
      <c r="B14" s="19">
        <v>47</v>
      </c>
      <c r="C14" s="19">
        <v>0</v>
      </c>
      <c r="D14" s="19">
        <v>3</v>
      </c>
      <c r="E14" s="19">
        <v>82</v>
      </c>
      <c r="F14" s="19">
        <v>0</v>
      </c>
      <c r="G14" s="19">
        <v>14</v>
      </c>
      <c r="H14" s="19">
        <v>0</v>
      </c>
      <c r="I14" s="19">
        <v>0</v>
      </c>
      <c r="J14" s="19">
        <v>87</v>
      </c>
      <c r="K14" s="19">
        <v>43</v>
      </c>
      <c r="L14" s="19">
        <v>56</v>
      </c>
      <c r="M14" s="19">
        <v>0</v>
      </c>
      <c r="N14" s="19">
        <v>10</v>
      </c>
      <c r="O14" s="18"/>
      <c r="P14" s="18" t="s">
        <v>18</v>
      </c>
      <c r="Q14" s="18" t="s">
        <v>19</v>
      </c>
      <c r="R14" s="20"/>
      <c r="S14" s="20"/>
      <c r="T14" s="20"/>
      <c r="U14" s="20"/>
      <c r="V14" s="21"/>
      <c r="W14" s="1"/>
      <c r="X14" s="1"/>
      <c r="Y14" s="1"/>
      <c r="Z14" s="1"/>
      <c r="AA14" s="1"/>
      <c r="AB14" s="1"/>
    </row>
    <row r="15" spans="1:28" ht="14.25" customHeight="1">
      <c r="A15" s="22" t="s">
        <v>20</v>
      </c>
      <c r="B15" s="23">
        <f>PRODUCT(SEMANAL!$D6,B$13)/1000+PRODUCT(SEMANAL!$B6,B$14)/1000</f>
        <v>17.39</v>
      </c>
      <c r="C15" s="23">
        <f>PRODUCT(SEMANAL!$D6,C$13)/1000+PRODUCT(SEMANAL!$B6,C$14)/1000</f>
        <v>12.625</v>
      </c>
      <c r="D15" s="23">
        <f>PRODUCT(SEMANAL!$D6,D$13)/1000+PRODUCT(SEMANAL!$B6,D$14)/1000</f>
        <v>1.1099999999999999</v>
      </c>
      <c r="E15" s="23">
        <f>PRODUCT(SEMANAL!$D6,E$13)/1000+PRODUCT(SEMANAL!$B6,E$14)/1000</f>
        <v>30.34</v>
      </c>
      <c r="F15" s="23">
        <f>PRODUCT(SEMANAL!$D6,F$13)/1000+PRODUCT(SEMANAL!$B6,F$14)/1000</f>
        <v>11.25</v>
      </c>
      <c r="G15" s="23">
        <f>PRODUCT(SEMANAL!$D6,G$13)/1000+PRODUCT(SEMANAL!$B6,G$14)/1000</f>
        <v>5.18</v>
      </c>
      <c r="H15" s="23">
        <f>PRODUCT(SEMANAL!$D6,H$13)/1000+PRODUCT(SEMANAL!$B6,H$14)/1000</f>
        <v>3.375</v>
      </c>
      <c r="I15" s="23">
        <f>PRODUCT(SEMANAL!$D6,I$13)/1000+PRODUCT(SEMANAL!$B6,I$14)/1000</f>
        <v>8.875</v>
      </c>
      <c r="J15" s="23">
        <f>PRODUCT(SEMANAL!$D6,J$13)/1000+PRODUCT(SEMANAL!$B6,J$14)/1000</f>
        <v>28.939999999999998</v>
      </c>
      <c r="K15" s="23">
        <f>PRODUCT(SEMANAL!$D6,K$13)/1000+PRODUCT(SEMANAL!$B6,K$14)/1000</f>
        <v>15.91</v>
      </c>
      <c r="L15" s="23">
        <f>PRODUCT(SEMANAL!$D6,L$13)/1000+PRODUCT(SEMANAL!$B6,L$14)/1000</f>
        <v>18.22</v>
      </c>
      <c r="M15" s="23">
        <f>PRODUCT(SEMANAL!$D6,M$13)/1000+PRODUCT(SEMANAL!$B6,M$14)/1000</f>
        <v>1.625</v>
      </c>
      <c r="N15" s="23">
        <f>PRODUCT(SEMANAL!$D6,N$13)/1000+PRODUCT(SEMANAL!$B6,N$14)/1000</f>
        <v>3.95</v>
      </c>
      <c r="O15" s="24">
        <f>SUM('OC FRUT y VERD AZUL 2'!B15:N15)</f>
        <v>147</v>
      </c>
      <c r="P15" s="18">
        <v>2390</v>
      </c>
      <c r="Q15" s="18">
        <f t="shared" ref="Q15:Q27" si="0">O15*P15</f>
        <v>351330</v>
      </c>
      <c r="R15" s="20"/>
      <c r="S15" s="20"/>
      <c r="T15" s="20"/>
      <c r="U15" s="20"/>
      <c r="V15" s="21"/>
      <c r="W15" s="1"/>
      <c r="X15" s="1"/>
      <c r="Y15" s="1"/>
      <c r="Z15" s="1"/>
      <c r="AA15" s="1"/>
      <c r="AB15" s="1"/>
    </row>
    <row r="16" spans="1:28" ht="14.25" customHeight="1">
      <c r="A16" s="22" t="s">
        <v>21</v>
      </c>
      <c r="B16" s="23">
        <f>PRODUCT(SEMANAL!$D$7,B$13)/1000+PRODUCT(SEMANAL!$B$7,B$14)/1000</f>
        <v>5.64</v>
      </c>
      <c r="C16" s="23">
        <f>PRODUCT(SEMANAL!$D$7,C$13)/1000+PRODUCT(SEMANAL!$B$7,C$14)/1000</f>
        <v>0</v>
      </c>
      <c r="D16" s="23">
        <f>PRODUCT(SEMANAL!$D$7,D$13)/1000+PRODUCT(SEMANAL!$B$7,D$14)/1000</f>
        <v>0.36</v>
      </c>
      <c r="E16" s="23">
        <f>PRODUCT(SEMANAL!$D$7,E$13)/1000+PRODUCT(SEMANAL!$B$7,E$14)/1000</f>
        <v>9.84</v>
      </c>
      <c r="F16" s="23">
        <f>PRODUCT(SEMANAL!$D$7,F$13)/1000+PRODUCT(SEMANAL!$B$7,F$14)/1000</f>
        <v>0</v>
      </c>
      <c r="G16" s="23">
        <f>PRODUCT(SEMANAL!$D$7,G$13)/1000+PRODUCT(SEMANAL!$B$7,G$14)/1000</f>
        <v>1.68</v>
      </c>
      <c r="H16" s="23">
        <f>PRODUCT(SEMANAL!$D$7,H$13)/1000+PRODUCT(SEMANAL!$B$7,H$14)/1000</f>
        <v>0</v>
      </c>
      <c r="I16" s="23">
        <f>PRODUCT(SEMANAL!$D$7,I$13)/1000+PRODUCT(SEMANAL!$B$7,I$14)/1000</f>
        <v>0</v>
      </c>
      <c r="J16" s="23">
        <f>PRODUCT(SEMANAL!$D$7,J$13)/1000+PRODUCT(SEMANAL!$B$7,J$14)/1000</f>
        <v>10.44</v>
      </c>
      <c r="K16" s="23">
        <f>PRODUCT(SEMANAL!$D$7,K$13)/1000+PRODUCT(SEMANAL!$B$7,K$14)/1000</f>
        <v>5.16</v>
      </c>
      <c r="L16" s="23">
        <f>PRODUCT(SEMANAL!$D$7,L$13)/1000+PRODUCT(SEMANAL!$B$7,L$14)/1000</f>
        <v>6.72</v>
      </c>
      <c r="M16" s="23">
        <f>PRODUCT(SEMANAL!$D$7,M$13)/1000+PRODUCT(SEMANAL!$B$7,M$14)/1000</f>
        <v>0</v>
      </c>
      <c r="N16" s="23">
        <f>PRODUCT(SEMANAL!$D$7,N$13)/1000+PRODUCT(SEMANAL!$B$7,N$14)/1000</f>
        <v>1.2</v>
      </c>
      <c r="O16" s="24">
        <f>SUM('OC FRUT y VERD AZUL 2'!B16:N16)</f>
        <v>45</v>
      </c>
      <c r="P16" s="18">
        <v>2550</v>
      </c>
      <c r="Q16" s="18">
        <f t="shared" si="0"/>
        <v>114750</v>
      </c>
      <c r="R16" s="20"/>
      <c r="S16" s="20"/>
      <c r="T16" s="20"/>
      <c r="U16" s="20"/>
      <c r="V16" s="21"/>
      <c r="W16" s="1"/>
      <c r="X16" s="1"/>
      <c r="Y16" s="1"/>
      <c r="Z16" s="1"/>
      <c r="AA16" s="1"/>
      <c r="AB16" s="1"/>
    </row>
    <row r="17" spans="1:28" ht="14.25" customHeight="1">
      <c r="A17" s="22" t="s">
        <v>22</v>
      </c>
      <c r="B17" s="23">
        <f>PRODUCT(SEMANAL!$D8,B$13)/1000+PRODUCT(SEMANAL!B$8,B$14)/1000</f>
        <v>34.78</v>
      </c>
      <c r="C17" s="23">
        <f>PRODUCT(SEMANAL!$D8,C$13)/1000+PRODUCT(SEMANAL!C$8,C$14)/1000</f>
        <v>25.25</v>
      </c>
      <c r="D17" s="23">
        <f>PRODUCT(SEMANAL!$D8,D$13)/1000+PRODUCT(SEMANAL!D$8,D$14)/1000</f>
        <v>2.25</v>
      </c>
      <c r="E17" s="23">
        <f>PRODUCT(SEMANAL!$D8,E$13)/1000+PRODUCT(SEMANAL!E$8,E$14)/1000</f>
        <v>61.5</v>
      </c>
      <c r="F17" s="23">
        <f>PRODUCT(SEMANAL!$D8,F$13)/1000+PRODUCT(SEMANAL!F$8,F$14)/1000</f>
        <v>22.5</v>
      </c>
      <c r="G17" s="23">
        <f>PRODUCT(SEMANAL!$D8,G$13)/1000+PRODUCT(SEMANAL!G$8,G$14)/1000</f>
        <v>10.5</v>
      </c>
      <c r="H17" s="23">
        <f>PRODUCT(SEMANAL!$D8,H$13)/1000+PRODUCT(SEMANAL!H$8,H$14)/1000</f>
        <v>6.75</v>
      </c>
      <c r="I17" s="23">
        <f>PRODUCT(SEMANAL!$D8,I$13)/1000+PRODUCT(SEMANAL!I$8,I$14)/1000</f>
        <v>17.75</v>
      </c>
      <c r="J17" s="23">
        <f>PRODUCT(SEMANAL!$D8,J$13)/1000+PRODUCT(SEMANAL!J$8,J$14)/1000</f>
        <v>37.087000000000003</v>
      </c>
      <c r="K17" s="23">
        <f>PRODUCT(SEMANAL!$D8,K$13)/1000+PRODUCT(SEMANAL!K$8,K$14)/1000</f>
        <v>21.542999999999999</v>
      </c>
      <c r="L17" s="23">
        <f>PRODUCT(SEMANAL!$D8,L$13)/1000+PRODUCT(SEMANAL!L$8,L$14)/1000</f>
        <v>23.056000000000001</v>
      </c>
      <c r="M17" s="23">
        <f>PRODUCT(SEMANAL!$D8,M$13)/1000+PRODUCT(SEMANAL!M$8,M$14)/1000</f>
        <v>3.25</v>
      </c>
      <c r="N17" s="23">
        <f>PRODUCT(SEMANAL!$D8,N$13)/1000+PRODUCT(SEMANAL!N$8,N$14)/1000</f>
        <v>5.51</v>
      </c>
      <c r="O17" s="24">
        <f>SUM('OC FRUT y VERD AZUL 2'!B17:N17)</f>
        <v>279</v>
      </c>
      <c r="P17" s="18">
        <v>1710</v>
      </c>
      <c r="Q17" s="18">
        <f t="shared" si="0"/>
        <v>477090</v>
      </c>
      <c r="R17" s="20"/>
      <c r="S17" s="20"/>
      <c r="T17" s="20"/>
      <c r="U17" s="20"/>
      <c r="V17" s="21"/>
      <c r="W17" s="1"/>
      <c r="X17" s="1"/>
      <c r="Y17" s="1"/>
      <c r="Z17" s="1"/>
      <c r="AA17" s="1"/>
      <c r="AB17" s="1"/>
    </row>
    <row r="18" spans="1:28" ht="14.25" customHeight="1">
      <c r="A18" s="22" t="s">
        <v>23</v>
      </c>
      <c r="B18" s="23">
        <f>PRODUCT(SEMANAL!$D9,B$13)/1000+PRODUCT(SEMANAL!B$9,B$14)/1000</f>
        <v>0</v>
      </c>
      <c r="C18" s="23">
        <f>PRODUCT(SEMANAL!$D9,C$13)/1000+PRODUCT(SEMANAL!C$9,C$14)/1000</f>
        <v>0</v>
      </c>
      <c r="D18" s="23">
        <f>PRODUCT(SEMANAL!$D9,D$13)/1000+PRODUCT(SEMANAL!D$9,D$14)/1000</f>
        <v>0</v>
      </c>
      <c r="E18" s="23">
        <f>PRODUCT(SEMANAL!$D9,E$13)/1000+PRODUCT(SEMANAL!E$9,E$14)/1000</f>
        <v>0</v>
      </c>
      <c r="F18" s="23">
        <f>PRODUCT(SEMANAL!$D9,F$13)/1000+PRODUCT(SEMANAL!F$9,F$14)/1000</f>
        <v>0</v>
      </c>
      <c r="G18" s="23">
        <f>PRODUCT(SEMANAL!$D9,G$13)/1000+PRODUCT(SEMANAL!G$9,G$14)/1000</f>
        <v>0</v>
      </c>
      <c r="H18" s="23">
        <f>PRODUCT(SEMANAL!$D9,H$13)/1000+PRODUCT(SEMANAL!H$9,H$14)/1000</f>
        <v>0</v>
      </c>
      <c r="I18" s="23">
        <f>PRODUCT(SEMANAL!$D9,I$13)/1000+PRODUCT(SEMANAL!I$9,I$14)/1000</f>
        <v>0</v>
      </c>
      <c r="J18" s="23">
        <f>PRODUCT(SEMANAL!$D9,J$13)/1000+PRODUCT(SEMANAL!J$9,J$14)/1000</f>
        <v>8.6999999999999994E-2</v>
      </c>
      <c r="K18" s="23">
        <f>PRODUCT(SEMANAL!$D9,K$13)/1000+PRODUCT(SEMANAL!K$9,K$14)/1000</f>
        <v>4.2999999999999997E-2</v>
      </c>
      <c r="L18" s="23">
        <f>PRODUCT(SEMANAL!$D9,L$13)/1000+PRODUCT(SEMANAL!L$9,L$14)/1000</f>
        <v>5.6000000000000001E-2</v>
      </c>
      <c r="M18" s="23">
        <f>PRODUCT(SEMANAL!$D9,M$13)/1000+PRODUCT(SEMANAL!M$9,M$14)/1000</f>
        <v>0</v>
      </c>
      <c r="N18" s="23">
        <f>PRODUCT(SEMANAL!$D9,N$13)/1000+PRODUCT(SEMANAL!N$9,N$14)/1000</f>
        <v>0.01</v>
      </c>
      <c r="O18" s="24">
        <f>SUM('OC FRUT y VERD AZUL 2'!B18:N18)</f>
        <v>2</v>
      </c>
      <c r="P18" s="18">
        <v>2200</v>
      </c>
      <c r="Q18" s="18">
        <f t="shared" si="0"/>
        <v>4400</v>
      </c>
      <c r="R18" s="20"/>
      <c r="S18" s="20"/>
      <c r="T18" s="20"/>
      <c r="U18" s="20"/>
      <c r="V18" s="21"/>
      <c r="W18" s="1"/>
      <c r="X18" s="1"/>
      <c r="Y18" s="1"/>
      <c r="Z18" s="1"/>
      <c r="AA18" s="1"/>
      <c r="AB18" s="1"/>
    </row>
    <row r="19" spans="1:28" ht="14.25" customHeight="1">
      <c r="A19" s="22" t="s">
        <v>24</v>
      </c>
      <c r="B19" s="23">
        <f>PRODUCT(SEMANAL!$D10,B$13)/1000+PRODUCT(SEMANAL!$B10,B$14)/1000</f>
        <v>6.58</v>
      </c>
      <c r="C19" s="23">
        <f>PRODUCT(SEMANAL!$D10,C$13)/1000+PRODUCT(SEMANAL!$B10,C$14)/1000</f>
        <v>0</v>
      </c>
      <c r="D19" s="23">
        <f>PRODUCT(SEMANAL!$D10,D$13)/1000+PRODUCT(SEMANAL!$B10,D$14)/1000</f>
        <v>0.42</v>
      </c>
      <c r="E19" s="23">
        <f>PRODUCT(SEMANAL!$D10,E$13)/1000+PRODUCT(SEMANAL!$B10,E$14)/1000</f>
        <v>11.48</v>
      </c>
      <c r="F19" s="23">
        <f>PRODUCT(SEMANAL!$D10,F$13)/1000+PRODUCT(SEMANAL!$B10,F$14)/1000</f>
        <v>0</v>
      </c>
      <c r="G19" s="23">
        <f>PRODUCT(SEMANAL!$D10,G$13)/1000+PRODUCT(SEMANAL!$B10,G$14)/1000</f>
        <v>1.96</v>
      </c>
      <c r="H19" s="23">
        <f>PRODUCT(SEMANAL!$D10,H$13)/1000+PRODUCT(SEMANAL!$B10,H$14)/1000</f>
        <v>0</v>
      </c>
      <c r="I19" s="23">
        <f>PRODUCT(SEMANAL!$D10,I$13)/1000+PRODUCT(SEMANAL!$B10,I$14)/1000</f>
        <v>0</v>
      </c>
      <c r="J19" s="23">
        <f>PRODUCT(SEMANAL!$D10,J$13)/1000+PRODUCT(SEMANAL!$B10,J$14)/1000</f>
        <v>12.18</v>
      </c>
      <c r="K19" s="23">
        <f>PRODUCT(SEMANAL!$D10,K$13)/1000+PRODUCT(SEMANAL!$B10,K$14)/1000</f>
        <v>6.02</v>
      </c>
      <c r="L19" s="23">
        <f>PRODUCT(SEMANAL!$D10,L$13)/1000+PRODUCT(SEMANAL!$B10,L$14)/1000</f>
        <v>7.84</v>
      </c>
      <c r="M19" s="23">
        <f>PRODUCT(SEMANAL!$D10,M$13)/1000+PRODUCT(SEMANAL!$B10,M$14)/1000</f>
        <v>0</v>
      </c>
      <c r="N19" s="23">
        <f>PRODUCT(SEMANAL!$D10,N$13)/1000+PRODUCT(SEMANAL!$B10,N$14)/1000</f>
        <v>1.4</v>
      </c>
      <c r="O19" s="24">
        <f>SUM('OC FRUT y VERD AZUL 2'!B19:N19)</f>
        <v>49</v>
      </c>
      <c r="P19" s="18">
        <v>1350</v>
      </c>
      <c r="Q19" s="18">
        <f t="shared" si="0"/>
        <v>66150</v>
      </c>
      <c r="R19" s="20"/>
      <c r="S19" s="20"/>
      <c r="T19" s="20"/>
      <c r="U19" s="20"/>
      <c r="V19" s="21"/>
      <c r="W19" s="1"/>
      <c r="X19" s="1"/>
      <c r="Y19" s="1"/>
      <c r="Z19" s="1"/>
      <c r="AA19" s="1"/>
      <c r="AB19" s="1"/>
    </row>
    <row r="20" spans="1:28" ht="14.25" customHeight="1">
      <c r="A20" s="22" t="s">
        <v>25</v>
      </c>
      <c r="B20" s="23">
        <f>PRODUCT(SEMANAL!$D11,B$13)/1000+PRODUCT(SEMANAL!$B11,B$14)/1000</f>
        <v>2.35</v>
      </c>
      <c r="C20" s="23">
        <f>PRODUCT(SEMANAL!$D11,C$13)/1000+PRODUCT(SEMANAL!$B11,C$14)/1000</f>
        <v>0</v>
      </c>
      <c r="D20" s="23">
        <f>PRODUCT(SEMANAL!$D11,D$13)/1000+PRODUCT(SEMANAL!$B11,D$14)/1000</f>
        <v>0.15</v>
      </c>
      <c r="E20" s="23">
        <f>PRODUCT(SEMANAL!$D11,E$13)/1000+PRODUCT(SEMANAL!$B11,E$14)/1000</f>
        <v>4.0999999999999996</v>
      </c>
      <c r="F20" s="23">
        <f>PRODUCT(SEMANAL!$D11,F$13)/1000+PRODUCT(SEMANAL!$B11,F$14)/1000</f>
        <v>0</v>
      </c>
      <c r="G20" s="23">
        <f>PRODUCT(SEMANAL!$D11,G$13)/1000+PRODUCT(SEMANAL!$B11,G$14)/1000</f>
        <v>0.7</v>
      </c>
      <c r="H20" s="23">
        <f>PRODUCT(SEMANAL!$D11,H$13)/1000+PRODUCT(SEMANAL!$B11,H$14)/1000</f>
        <v>0</v>
      </c>
      <c r="I20" s="23">
        <f>PRODUCT(SEMANAL!$D11,I$13)/1000+PRODUCT(SEMANAL!$B11,I$14)/1000</f>
        <v>0</v>
      </c>
      <c r="J20" s="23">
        <f>PRODUCT(SEMANAL!$D11,J$13)/1000+PRODUCT(SEMANAL!$B11,J$14)/1000</f>
        <v>4.3499999999999996</v>
      </c>
      <c r="K20" s="23">
        <f>PRODUCT(SEMANAL!$D11,K$13)/1000+PRODUCT(SEMANAL!$B11,K$14)/1000</f>
        <v>2.15</v>
      </c>
      <c r="L20" s="23">
        <f>PRODUCT(SEMANAL!$D11,L$13)/1000+PRODUCT(SEMANAL!$B11,L$14)/1000</f>
        <v>2.8</v>
      </c>
      <c r="M20" s="23">
        <f>PRODUCT(SEMANAL!$D11,M$13)/1000+PRODUCT(SEMANAL!$B11,M$14)/1000</f>
        <v>0</v>
      </c>
      <c r="N20" s="23">
        <f>PRODUCT(SEMANAL!$D11,N$13)/1000+PRODUCT(SEMANAL!$B11,N$14)/1000</f>
        <v>0.5</v>
      </c>
      <c r="O20" s="24">
        <f>SUM('OC FRUT y VERD AZUL 2'!B20:N20)</f>
        <v>21</v>
      </c>
      <c r="P20" s="18">
        <v>1950</v>
      </c>
      <c r="Q20" s="18">
        <f t="shared" si="0"/>
        <v>40950</v>
      </c>
      <c r="R20" s="20"/>
      <c r="S20" s="20"/>
      <c r="T20" s="20"/>
      <c r="U20" s="20"/>
      <c r="V20" s="21"/>
      <c r="W20" s="1"/>
      <c r="X20" s="1"/>
      <c r="Y20" s="1"/>
      <c r="Z20" s="1"/>
      <c r="AA20" s="1"/>
      <c r="AB20" s="1"/>
    </row>
    <row r="21" spans="1:28" ht="14.25" customHeight="1">
      <c r="A21" s="22" t="s">
        <v>26</v>
      </c>
      <c r="B21" s="23">
        <f>PRODUCT(SEMANAL!$D12,B$13)/1000+PRODUCT(SEMANAL!$B12,B$14)/1000</f>
        <v>9.4</v>
      </c>
      <c r="C21" s="23">
        <f>PRODUCT(SEMANAL!$D12,C$13)/1000+PRODUCT(SEMANAL!$B12,C$14)/1000</f>
        <v>0</v>
      </c>
      <c r="D21" s="23">
        <f>PRODUCT(SEMANAL!$D12,D$13)/1000+PRODUCT(SEMANAL!$B12,D$14)/1000</f>
        <v>0.6</v>
      </c>
      <c r="E21" s="23">
        <f>PRODUCT(SEMANAL!$D12,E$13)/1000+PRODUCT(SEMANAL!$B12,E$14)/1000</f>
        <v>16.399999999999999</v>
      </c>
      <c r="F21" s="23">
        <f>PRODUCT(SEMANAL!$D12,F$13)/1000+PRODUCT(SEMANAL!$B12,F$14)/1000</f>
        <v>0</v>
      </c>
      <c r="G21" s="23">
        <f>PRODUCT(SEMANAL!$D12,G$13)/1000+PRODUCT(SEMANAL!$B12,G$14)/1000</f>
        <v>2.8</v>
      </c>
      <c r="H21" s="23">
        <f>PRODUCT(SEMANAL!$D12,H$13)/1000+PRODUCT(SEMANAL!$B12,H$14)/1000</f>
        <v>0</v>
      </c>
      <c r="I21" s="23">
        <f>PRODUCT(SEMANAL!$D12,I$13)/1000+PRODUCT(SEMANAL!$B12,I$14)/1000</f>
        <v>0</v>
      </c>
      <c r="J21" s="23">
        <f>PRODUCT(SEMANAL!$D12,J$13)/1000+PRODUCT(SEMANAL!$B12,J$14)/1000</f>
        <v>17.399999999999999</v>
      </c>
      <c r="K21" s="23">
        <f>PRODUCT(SEMANAL!$D12,K$13)/1000+PRODUCT(SEMANAL!$B12,K$14)/1000</f>
        <v>8.6</v>
      </c>
      <c r="L21" s="23">
        <f>PRODUCT(SEMANAL!$D12,L$13)/1000+PRODUCT(SEMANAL!$B12,L$14)/1000</f>
        <v>11.2</v>
      </c>
      <c r="M21" s="23">
        <f>PRODUCT(SEMANAL!$D12,M$13)/1000+PRODUCT(SEMANAL!$B12,M$14)/1000</f>
        <v>0</v>
      </c>
      <c r="N21" s="23">
        <f>PRODUCT(SEMANAL!$D12,N$13)/1000+PRODUCT(SEMANAL!$B12,N$14)/1000</f>
        <v>2</v>
      </c>
      <c r="O21" s="24">
        <f>SUM('OC FRUT y VERD AZUL 2'!B21:N21)</f>
        <v>72</v>
      </c>
      <c r="P21" s="18">
        <v>1090</v>
      </c>
      <c r="Q21" s="18">
        <f t="shared" si="0"/>
        <v>78480</v>
      </c>
      <c r="R21" s="20"/>
      <c r="S21" s="20"/>
      <c r="T21" s="20"/>
      <c r="U21" s="20"/>
      <c r="V21" s="21"/>
      <c r="W21" s="1"/>
      <c r="X21" s="1"/>
      <c r="Y21" s="1"/>
      <c r="Z21" s="1"/>
      <c r="AA21" s="1"/>
      <c r="AB21" s="1"/>
    </row>
    <row r="22" spans="1:28" ht="14.25" customHeight="1">
      <c r="A22" s="22" t="s">
        <v>27</v>
      </c>
      <c r="B22" s="23">
        <f>PRODUCT(SEMANAL!$D13,B$13)/1000+PRODUCT(SEMANAL!$B13,B$14)/1000</f>
        <v>3.5249999999999999</v>
      </c>
      <c r="C22" s="23">
        <f>PRODUCT(SEMANAL!$D13,C$13)/1000+PRODUCT(SEMANAL!$B13,C$14)/1000</f>
        <v>0</v>
      </c>
      <c r="D22" s="23">
        <f>PRODUCT(SEMANAL!$D13,D$13)/1000+PRODUCT(SEMANAL!$B13,D$14)/1000</f>
        <v>0.22500000000000001</v>
      </c>
      <c r="E22" s="23">
        <f>PRODUCT(SEMANAL!$D13,E$13)/1000+PRODUCT(SEMANAL!$B13,E$14)/1000</f>
        <v>6.15</v>
      </c>
      <c r="F22" s="23">
        <f>PRODUCT(SEMANAL!$D13,F$13)/1000+PRODUCT(SEMANAL!$B13,F$14)/1000</f>
        <v>0</v>
      </c>
      <c r="G22" s="23">
        <f>PRODUCT(SEMANAL!$D13,G$13)/1000+PRODUCT(SEMANAL!$B13,G$14)/1000</f>
        <v>1.05</v>
      </c>
      <c r="H22" s="23">
        <f>PRODUCT(SEMANAL!$D13,H$13)/1000+PRODUCT(SEMANAL!$B13,H$14)/1000</f>
        <v>0</v>
      </c>
      <c r="I22" s="23">
        <f>PRODUCT(SEMANAL!$D13,I$13)/1000+PRODUCT(SEMANAL!$B13,I$14)/1000</f>
        <v>0</v>
      </c>
      <c r="J22" s="23">
        <f>PRODUCT(SEMANAL!$D13,J$13)/1000+PRODUCT(SEMANAL!$B13,J$14)/1000</f>
        <v>6.5250000000000004</v>
      </c>
      <c r="K22" s="23">
        <f>PRODUCT(SEMANAL!$D13,K$13)/1000+PRODUCT(SEMANAL!$B13,K$14)/1000</f>
        <v>3.2250000000000001</v>
      </c>
      <c r="L22" s="23">
        <f>PRODUCT(SEMANAL!$D13,L$13)/1000+PRODUCT(SEMANAL!$B13,L$14)/1000</f>
        <v>4.2</v>
      </c>
      <c r="M22" s="23">
        <f>PRODUCT(SEMANAL!$D13,M$13)/1000+PRODUCT(SEMANAL!$B13,M$14)/1000</f>
        <v>0</v>
      </c>
      <c r="N22" s="23">
        <f>PRODUCT(SEMANAL!$D13,N$13)/1000+PRODUCT(SEMANAL!$B13,N$14)/1000</f>
        <v>0.75</v>
      </c>
      <c r="O22" s="24">
        <f>SUM('OC FRUT y VERD AZUL 2'!B22:N22)</f>
        <v>31</v>
      </c>
      <c r="P22" s="18">
        <v>1090</v>
      </c>
      <c r="Q22" s="18">
        <f t="shared" si="0"/>
        <v>33790</v>
      </c>
      <c r="R22" s="20"/>
      <c r="S22" s="20"/>
      <c r="T22" s="20"/>
      <c r="U22" s="20"/>
      <c r="V22" s="21"/>
      <c r="W22" s="1"/>
      <c r="X22" s="1"/>
      <c r="Y22" s="1"/>
      <c r="Z22" s="1"/>
      <c r="AA22" s="1"/>
      <c r="AB22" s="1"/>
    </row>
    <row r="23" spans="1:28" ht="14.25" customHeight="1">
      <c r="A23" s="22" t="s">
        <v>28</v>
      </c>
      <c r="B23" s="23">
        <f>PRODUCT(SEMANAL!$D14,B$13)/1000+PRODUCT(SEMANAL!$B14,B$14)/1000</f>
        <v>2.35</v>
      </c>
      <c r="C23" s="23">
        <f>PRODUCT(SEMANAL!$D14,C$13)/1000+PRODUCT(SEMANAL!$B14,C$14)/1000</f>
        <v>0</v>
      </c>
      <c r="D23" s="23">
        <f>PRODUCT(SEMANAL!$D14,D$13)/1000+PRODUCT(SEMANAL!$B14,D$14)/1000</f>
        <v>0.15</v>
      </c>
      <c r="E23" s="23">
        <f>PRODUCT(SEMANAL!$D14,E$13)/1000+PRODUCT(SEMANAL!$B14,E$14)/1000</f>
        <v>4.0999999999999996</v>
      </c>
      <c r="F23" s="23">
        <f>PRODUCT(SEMANAL!$D14,F$13)/1000+PRODUCT(SEMANAL!$B14,F$14)/1000</f>
        <v>0</v>
      </c>
      <c r="G23" s="23">
        <f>PRODUCT(SEMANAL!$D14,G$13)/1000+PRODUCT(SEMANAL!$B14,G$14)/1000</f>
        <v>0.7</v>
      </c>
      <c r="H23" s="23">
        <f>PRODUCT(SEMANAL!$D14,H$13)/1000+PRODUCT(SEMANAL!$B14,H$14)/1000</f>
        <v>0</v>
      </c>
      <c r="I23" s="23">
        <f>PRODUCT(SEMANAL!$D14,I$13)/1000+PRODUCT(SEMANAL!$B14,I$14)/1000</f>
        <v>0</v>
      </c>
      <c r="J23" s="23">
        <f>PRODUCT(SEMANAL!$D14,J$13)/1000+PRODUCT(SEMANAL!$B14,J$14)/1000</f>
        <v>4.3499999999999996</v>
      </c>
      <c r="K23" s="23">
        <f>PRODUCT(SEMANAL!$D14,K$13)/1000+PRODUCT(SEMANAL!$B14,K$14)/1000</f>
        <v>2.15</v>
      </c>
      <c r="L23" s="23">
        <f>PRODUCT(SEMANAL!$D14,L$13)/1000+PRODUCT(SEMANAL!$B14,L$14)/1000</f>
        <v>2.8</v>
      </c>
      <c r="M23" s="23">
        <f>PRODUCT(SEMANAL!$D14,M$13)/1000+PRODUCT(SEMANAL!$B14,M$14)/1000</f>
        <v>0</v>
      </c>
      <c r="N23" s="23">
        <f>PRODUCT(SEMANAL!$D14,N$13)/1000+PRODUCT(SEMANAL!$B14,N$14)/1000</f>
        <v>0.5</v>
      </c>
      <c r="O23" s="24">
        <f>SUM('OC FRUT y VERD AZUL 2'!B23:N23)</f>
        <v>17</v>
      </c>
      <c r="P23" s="18">
        <v>1590</v>
      </c>
      <c r="Q23" s="18">
        <f t="shared" si="0"/>
        <v>27030</v>
      </c>
      <c r="R23" s="20"/>
      <c r="S23" s="20"/>
      <c r="T23" s="20"/>
      <c r="U23" s="20"/>
      <c r="V23" s="21"/>
      <c r="W23" s="1"/>
      <c r="X23" s="1"/>
      <c r="Y23" s="1"/>
      <c r="Z23" s="1"/>
      <c r="AA23" s="1"/>
      <c r="AB23" s="1"/>
    </row>
    <row r="24" spans="1:28" ht="14.25" customHeight="1">
      <c r="A24" s="22" t="s">
        <v>29</v>
      </c>
      <c r="B24" s="23">
        <f>PRODUCT(SEMANAL!$D15,B$13)/1000+PRODUCT(SEMANAL!$B15,B$14)/1000</f>
        <v>1.645</v>
      </c>
      <c r="C24" s="23">
        <f>PRODUCT(SEMANAL!$D15,C$13)/1000+PRODUCT(SEMANAL!$B15,C$14)/1000</f>
        <v>0</v>
      </c>
      <c r="D24" s="23">
        <f>PRODUCT(SEMANAL!$D15,D$13)/1000+PRODUCT(SEMANAL!$B15,D$14)/1000</f>
        <v>0.105</v>
      </c>
      <c r="E24" s="23">
        <f>PRODUCT(SEMANAL!$D15,E$13)/1000+PRODUCT(SEMANAL!$B15,E$14)/1000</f>
        <v>2.87</v>
      </c>
      <c r="F24" s="23">
        <f>PRODUCT(SEMANAL!$D15,F$13)/1000+PRODUCT(SEMANAL!$B15,F$14)/1000</f>
        <v>0</v>
      </c>
      <c r="G24" s="23">
        <f>PRODUCT(SEMANAL!$D15,G$13)/1000+PRODUCT(SEMANAL!$B15,G$14)/1000</f>
        <v>0.49</v>
      </c>
      <c r="H24" s="23">
        <f>PRODUCT(SEMANAL!$D15,H$13)/1000+PRODUCT(SEMANAL!$B15,H$14)/1000</f>
        <v>0</v>
      </c>
      <c r="I24" s="23">
        <f>PRODUCT(SEMANAL!$D15,I$13)/1000+PRODUCT(SEMANAL!$B15,I$14)/1000</f>
        <v>0</v>
      </c>
      <c r="J24" s="23">
        <f>PRODUCT(SEMANAL!$D15,J$13)/1000+PRODUCT(SEMANAL!$B15,J$14)/1000</f>
        <v>3.0449999999999999</v>
      </c>
      <c r="K24" s="23">
        <f>PRODUCT(SEMANAL!$D15,K$13)/1000+PRODUCT(SEMANAL!$B15,K$14)/1000</f>
        <v>1.5049999999999999</v>
      </c>
      <c r="L24" s="23">
        <f>PRODUCT(SEMANAL!$D15,L$13)/1000+PRODUCT(SEMANAL!$B15,L$14)/1000</f>
        <v>1.96</v>
      </c>
      <c r="M24" s="23">
        <f>PRODUCT(SEMANAL!$D15,M$13)/1000+PRODUCT(SEMANAL!$B15,M$14)/1000</f>
        <v>0</v>
      </c>
      <c r="N24" s="23">
        <f>PRODUCT(SEMANAL!$D15,N$13)/1000+PRODUCT(SEMANAL!$B15,N$14)/1000</f>
        <v>0.35</v>
      </c>
      <c r="O24" s="24">
        <f>SUM('OC FRUT y VERD AZUL 2'!B24:N24)</f>
        <v>13</v>
      </c>
      <c r="P24" s="18">
        <v>1890</v>
      </c>
      <c r="Q24" s="18">
        <f t="shared" si="0"/>
        <v>24570</v>
      </c>
      <c r="R24" s="20"/>
      <c r="S24" s="20"/>
      <c r="T24" s="20"/>
      <c r="U24" s="20"/>
      <c r="V24" s="21"/>
      <c r="W24" s="1"/>
      <c r="X24" s="1"/>
      <c r="Y24" s="1"/>
      <c r="Z24" s="1"/>
      <c r="AA24" s="1"/>
      <c r="AB24" s="1"/>
    </row>
    <row r="25" spans="1:28" ht="14.25" customHeight="1">
      <c r="A25" s="22" t="s">
        <v>30</v>
      </c>
      <c r="B25" s="23">
        <f>PRODUCT(SEMANAL!$D16,B$13)/1000+PRODUCT(SEMANAL!$B16,B$14)/1000</f>
        <v>9.4000000000000004E-3</v>
      </c>
      <c r="C25" s="23">
        <f>PRODUCT(SEMANAL!$D16,C$13)/1000+PRODUCT(SEMANAL!$B16,C$14)/1000</f>
        <v>0</v>
      </c>
      <c r="D25" s="23">
        <f>PRODUCT(SEMANAL!$D16,D$13)/1000+PRODUCT(SEMANAL!$B16,D$14)/1000</f>
        <v>6.0000000000000006E-4</v>
      </c>
      <c r="E25" s="23">
        <f>PRODUCT(SEMANAL!$D16,E$13)/1000+PRODUCT(SEMANAL!$B16,E$14)/1000</f>
        <v>1.6400000000000001E-2</v>
      </c>
      <c r="F25" s="23">
        <f>PRODUCT(SEMANAL!$D16,F$13)/1000+PRODUCT(SEMANAL!$B16,F$14)/1000</f>
        <v>0</v>
      </c>
      <c r="G25" s="23">
        <f>PRODUCT(SEMANAL!$D16,G$13)/1000+PRODUCT(SEMANAL!$B16,G$14)/1000</f>
        <v>2.8000000000000004E-3</v>
      </c>
      <c r="H25" s="23">
        <f>PRODUCT(SEMANAL!$D16,H$13)/1000+PRODUCT(SEMANAL!$B16,H$14)/1000</f>
        <v>0</v>
      </c>
      <c r="I25" s="23">
        <f>PRODUCT(SEMANAL!$D16,I$13)/1000+PRODUCT(SEMANAL!$B16,I$14)/1000</f>
        <v>0</v>
      </c>
      <c r="J25" s="23">
        <f>PRODUCT(SEMANAL!$D16,J$13)/1000+PRODUCT(SEMANAL!$B16,J$14)/1000</f>
        <v>1.7400000000000002E-2</v>
      </c>
      <c r="K25" s="23">
        <f>PRODUCT(SEMANAL!$D16,K$13)/1000+PRODUCT(SEMANAL!$B16,K$14)/1000</f>
        <v>8.6E-3</v>
      </c>
      <c r="L25" s="23">
        <f>PRODUCT(SEMANAL!$D16,L$13)/1000+PRODUCT(SEMANAL!$B16,L$14)/1000</f>
        <v>1.1200000000000002E-2</v>
      </c>
      <c r="M25" s="23">
        <f>PRODUCT(SEMANAL!$D16,M$13)/1000+PRODUCT(SEMANAL!$B16,M$14)/1000</f>
        <v>0</v>
      </c>
      <c r="N25" s="23">
        <f>PRODUCT(SEMANAL!$D16,N$13)/1000+PRODUCT(SEMANAL!$B16,N$14)/1000</f>
        <v>2E-3</v>
      </c>
      <c r="O25" s="24">
        <f>SUM('OC FRUT y VERD AZUL 2'!B25:N25)</f>
        <v>6</v>
      </c>
      <c r="P25" s="18">
        <v>700</v>
      </c>
      <c r="Q25" s="18">
        <f t="shared" si="0"/>
        <v>4200</v>
      </c>
      <c r="R25" s="20"/>
      <c r="S25" s="20"/>
      <c r="T25" s="20"/>
      <c r="U25" s="20"/>
      <c r="V25" s="21"/>
      <c r="W25" s="1"/>
      <c r="X25" s="1"/>
      <c r="Y25" s="1"/>
      <c r="Z25" s="1"/>
      <c r="AA25" s="1"/>
      <c r="AB25" s="1"/>
    </row>
    <row r="26" spans="1:28" ht="14.25" customHeight="1">
      <c r="A26" s="22" t="s">
        <v>31</v>
      </c>
      <c r="B26" s="23">
        <f>PRODUCT(SEMANAL!$D17,B$13)/1000+PRODUCT(SEMANAL!$B17,B$14)/1000</f>
        <v>9.4000000000000004E-3</v>
      </c>
      <c r="C26" s="23">
        <f>PRODUCT(SEMANAL!$D17,C$13)/1000+PRODUCT(SEMANAL!$B17,C$14)/1000</f>
        <v>0</v>
      </c>
      <c r="D26" s="23">
        <f>PRODUCT(SEMANAL!$D17,D$13)/1000+PRODUCT(SEMANAL!$B17,D$14)/1000</f>
        <v>6.0000000000000006E-4</v>
      </c>
      <c r="E26" s="23">
        <f>PRODUCT(SEMANAL!$D17,E$13)/1000+PRODUCT(SEMANAL!$B17,E$14)/1000</f>
        <v>1.6400000000000001E-2</v>
      </c>
      <c r="F26" s="23">
        <f>PRODUCT(SEMANAL!$D17,F$13)/1000+PRODUCT(SEMANAL!$B17,F$14)/1000</f>
        <v>0</v>
      </c>
      <c r="G26" s="23">
        <f>PRODUCT(SEMANAL!$D17,G$13)/1000+PRODUCT(SEMANAL!$B17,G$14)/1000</f>
        <v>2.8000000000000004E-3</v>
      </c>
      <c r="H26" s="23">
        <f>PRODUCT(SEMANAL!$D17,H$13)/1000+PRODUCT(SEMANAL!$B17,H$14)/1000</f>
        <v>0</v>
      </c>
      <c r="I26" s="23">
        <f>PRODUCT(SEMANAL!$D17,I$13)/1000+PRODUCT(SEMANAL!$B17,I$14)/1000</f>
        <v>0</v>
      </c>
      <c r="J26" s="23">
        <f>PRODUCT(SEMANAL!$D17,J$13)/1000+PRODUCT(SEMANAL!$B17,J$14)/1000</f>
        <v>1.7400000000000002E-2</v>
      </c>
      <c r="K26" s="23">
        <f>PRODUCT(SEMANAL!$D17,K$13)/1000+PRODUCT(SEMANAL!$B17,K$14)/1000</f>
        <v>8.6E-3</v>
      </c>
      <c r="L26" s="23">
        <f>PRODUCT(SEMANAL!$D17,L$13)/1000+PRODUCT(SEMANAL!$B17,L$14)/1000</f>
        <v>1.1200000000000002E-2</v>
      </c>
      <c r="M26" s="23">
        <f>PRODUCT(SEMANAL!$D17,M$13)/1000+PRODUCT(SEMANAL!$B17,M$14)/1000</f>
        <v>0</v>
      </c>
      <c r="N26" s="23">
        <f>PRODUCT(SEMANAL!$D17,N$13)/1000+PRODUCT(SEMANAL!$B17,N$14)/1000</f>
        <v>2E-3</v>
      </c>
      <c r="O26" s="24">
        <f>SUM('OC FRUT y VERD AZUL 2'!B26:N26)</f>
        <v>6</v>
      </c>
      <c r="P26" s="18">
        <v>1990</v>
      </c>
      <c r="Q26" s="18">
        <f t="shared" si="0"/>
        <v>11940</v>
      </c>
      <c r="R26" s="20"/>
      <c r="S26" s="20"/>
      <c r="T26" s="20"/>
      <c r="U26" s="20"/>
      <c r="V26" s="21"/>
      <c r="W26" s="1"/>
      <c r="X26" s="1"/>
      <c r="Y26" s="1"/>
      <c r="Z26" s="1"/>
      <c r="AA26" s="1"/>
      <c r="AB26" s="1"/>
    </row>
    <row r="27" spans="1:28" ht="14.25" customHeight="1">
      <c r="A27" s="22" t="s">
        <v>32</v>
      </c>
      <c r="B27" s="23">
        <f>PRODUCT(SEMANAL!$D18,B$13)/12+PRODUCT(SEMANAL!$B18,B$14)/12</f>
        <v>5.875</v>
      </c>
      <c r="C27" s="23">
        <f>PRODUCT(SEMANAL!$D18,C$13)/12+PRODUCT(SEMANAL!$B18,C$14)/12</f>
        <v>0</v>
      </c>
      <c r="D27" s="23">
        <f>PRODUCT(SEMANAL!$D18,D$13)/12+PRODUCT(SEMANAL!$B18,D$14)/12</f>
        <v>0.375</v>
      </c>
      <c r="E27" s="23">
        <f>PRODUCT(SEMANAL!$D18,E$13)/12+PRODUCT(SEMANAL!$B18,E$14)/12</f>
        <v>10.25</v>
      </c>
      <c r="F27" s="23">
        <f>PRODUCT(SEMANAL!$D18,F$13)/12+PRODUCT(SEMANAL!$B18,F$14)/12</f>
        <v>0</v>
      </c>
      <c r="G27" s="23">
        <f>PRODUCT(SEMANAL!$D18,G$13)/12+PRODUCT(SEMANAL!$B18,G$14)/12</f>
        <v>1.75</v>
      </c>
      <c r="H27" s="23">
        <f>PRODUCT(SEMANAL!$D18,H$13)/12+PRODUCT(SEMANAL!$B18,H$14)/12</f>
        <v>0</v>
      </c>
      <c r="I27" s="23">
        <f>PRODUCT(SEMANAL!$D18,I$13)/12+PRODUCT(SEMANAL!$B18,I$14)/12</f>
        <v>0</v>
      </c>
      <c r="J27" s="23">
        <f>PRODUCT(SEMANAL!$D18,J$13)/12+PRODUCT(SEMANAL!$B18,J$14)/12</f>
        <v>10.875</v>
      </c>
      <c r="K27" s="23">
        <f>PRODUCT(SEMANAL!$D18,K$13)/12+PRODUCT(SEMANAL!$B18,K$14)/12</f>
        <v>5.375</v>
      </c>
      <c r="L27" s="23">
        <f>PRODUCT(SEMANAL!$D18,L$13)/12+PRODUCT(SEMANAL!$B18,L$14)/12</f>
        <v>7</v>
      </c>
      <c r="M27" s="23">
        <f>PRODUCT(SEMANAL!$D18,M$13)/12+PRODUCT(SEMANAL!$B18,M$14)/12</f>
        <v>0</v>
      </c>
      <c r="N27" s="23">
        <f>PRODUCT(SEMANAL!$D18,N$13)/12+PRODUCT(SEMANAL!$B18,N$14)/12</f>
        <v>1.25</v>
      </c>
      <c r="O27" s="24">
        <f>SUM('OC FRUT y VERD AZUL 2'!B27:N27)</f>
        <v>46</v>
      </c>
      <c r="P27" s="18">
        <v>2100</v>
      </c>
      <c r="Q27" s="18">
        <f t="shared" si="0"/>
        <v>96600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4.2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24"/>
      <c r="P28" s="18"/>
      <c r="Q28" s="18"/>
      <c r="R28" s="25"/>
      <c r="S28" s="25"/>
      <c r="T28" s="25"/>
      <c r="U28" s="25"/>
      <c r="V28" s="1"/>
      <c r="W28" s="1"/>
      <c r="X28" s="1"/>
      <c r="Y28" s="1"/>
      <c r="Z28" s="1"/>
      <c r="AA28" s="1"/>
      <c r="AB28" s="1"/>
    </row>
    <row r="29" spans="1:28" ht="14.2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24"/>
      <c r="P29" s="18"/>
      <c r="Q29" s="18"/>
      <c r="R29" s="25"/>
      <c r="S29" s="25"/>
      <c r="T29" s="25"/>
      <c r="U29" s="25"/>
      <c r="V29" s="1"/>
      <c r="W29" s="1"/>
      <c r="X29" s="1"/>
      <c r="Y29" s="1"/>
      <c r="Z29" s="1"/>
      <c r="AA29" s="1"/>
      <c r="AB29" s="1"/>
    </row>
    <row r="30" spans="1:28" ht="14.2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24"/>
      <c r="P30" s="18"/>
      <c r="Q30" s="18"/>
      <c r="R30" s="25"/>
      <c r="S30" s="25"/>
      <c r="T30" s="25"/>
      <c r="U30" s="25"/>
      <c r="V30" s="1"/>
      <c r="W30" s="1"/>
      <c r="X30" s="1"/>
      <c r="Y30" s="1"/>
      <c r="Z30" s="1"/>
      <c r="AA30" s="1"/>
      <c r="AB30" s="1"/>
    </row>
    <row r="31" spans="1:28" ht="14.2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24"/>
      <c r="P31" s="18" t="s">
        <v>33</v>
      </c>
      <c r="Q31" s="18">
        <f>Q15+Q16+Q17+Q18+Q19+Q20+Q21+Q22+Q23+Q24+Q25+Q26+Q27</f>
        <v>1331280</v>
      </c>
      <c r="R31" s="25"/>
      <c r="S31" s="25"/>
      <c r="T31" s="25"/>
      <c r="U31" s="25"/>
      <c r="V31" s="1"/>
      <c r="W31" s="1"/>
      <c r="X31" s="1"/>
      <c r="Y31" s="1"/>
      <c r="Z31" s="1"/>
      <c r="AA31" s="1"/>
      <c r="AB31" s="1"/>
    </row>
    <row r="32" spans="1:28" ht="14.2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24"/>
      <c r="P32" s="18"/>
      <c r="Q32" s="18"/>
      <c r="R32" s="25"/>
      <c r="S32" s="25"/>
      <c r="T32" s="25"/>
      <c r="U32" s="25"/>
      <c r="V32" s="1"/>
      <c r="W32" s="1"/>
      <c r="X32" s="1"/>
      <c r="Y32" s="1"/>
      <c r="Z32" s="1"/>
      <c r="AA32" s="1"/>
      <c r="AB32" s="1"/>
    </row>
    <row r="33" spans="1:28" ht="14.2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24"/>
      <c r="P33" s="18"/>
      <c r="Q33" s="18"/>
      <c r="R33" s="25"/>
      <c r="S33" s="25"/>
      <c r="T33" s="25"/>
      <c r="U33" s="25"/>
      <c r="V33" s="1"/>
      <c r="W33" s="1"/>
      <c r="X33" s="1"/>
      <c r="Y33" s="1"/>
      <c r="Z33" s="1"/>
      <c r="AA33" s="1"/>
      <c r="AB33" s="1"/>
    </row>
    <row r="34" spans="1:28" ht="14.2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24"/>
      <c r="P34" s="18"/>
      <c r="Q34" s="18"/>
      <c r="R34" s="25"/>
      <c r="S34" s="25"/>
      <c r="T34" s="25"/>
      <c r="U34" s="25"/>
      <c r="V34" s="1"/>
      <c r="W34" s="1"/>
      <c r="X34" s="1"/>
      <c r="Y34" s="1"/>
      <c r="Z34" s="1"/>
      <c r="AA34" s="1"/>
      <c r="AB34" s="1"/>
    </row>
    <row r="35" spans="1:28" ht="14.2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24"/>
      <c r="P35" s="18"/>
      <c r="Q35" s="18"/>
      <c r="R35" s="25"/>
      <c r="S35" s="25"/>
      <c r="T35" s="25"/>
      <c r="U35" s="25"/>
      <c r="V35" s="1"/>
      <c r="W35" s="1"/>
      <c r="X35" s="1"/>
      <c r="Y35" s="1"/>
      <c r="Z35" s="1"/>
      <c r="AA35" s="1"/>
      <c r="AB35" s="1"/>
    </row>
    <row r="36" spans="1:28" ht="14.2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24"/>
      <c r="P36" s="18"/>
      <c r="Q36" s="18"/>
      <c r="R36" s="25"/>
      <c r="S36" s="25"/>
      <c r="T36" s="25"/>
      <c r="U36" s="25"/>
      <c r="V36" s="1"/>
      <c r="W36" s="1"/>
      <c r="X36" s="1"/>
      <c r="Y36" s="1"/>
      <c r="Z36" s="1"/>
      <c r="AA36" s="1"/>
      <c r="AB36" s="1"/>
    </row>
    <row r="37" spans="1:28" ht="14.25" customHeight="1">
      <c r="A37" s="18"/>
      <c r="B37" s="26" t="s">
        <v>34</v>
      </c>
      <c r="C37" s="27" t="s">
        <v>35</v>
      </c>
      <c r="D37" s="26" t="s">
        <v>36</v>
      </c>
      <c r="E37" s="26" t="s">
        <v>37</v>
      </c>
      <c r="F37" s="26" t="s">
        <v>38</v>
      </c>
      <c r="G37" s="26" t="s">
        <v>39</v>
      </c>
      <c r="H37" s="26" t="s">
        <v>40</v>
      </c>
      <c r="I37" s="26" t="s">
        <v>41</v>
      </c>
      <c r="J37" s="26" t="s">
        <v>42</v>
      </c>
      <c r="K37" s="26" t="s">
        <v>43</v>
      </c>
      <c r="L37" s="26" t="s">
        <v>44</v>
      </c>
      <c r="M37" s="26" t="s">
        <v>45</v>
      </c>
      <c r="N37" s="26" t="s">
        <v>46</v>
      </c>
      <c r="O37" s="24"/>
      <c r="P37" s="18"/>
      <c r="Q37" s="18"/>
      <c r="R37" s="12"/>
      <c r="S37" s="12"/>
      <c r="T37" s="12"/>
      <c r="U37" s="12"/>
      <c r="V37" s="1"/>
      <c r="W37" s="1"/>
      <c r="X37" s="1"/>
      <c r="Y37" s="1"/>
      <c r="Z37" s="1"/>
      <c r="AA37" s="1"/>
      <c r="AB37" s="1"/>
    </row>
    <row r="38" spans="1:28" ht="14.25" customHeight="1">
      <c r="A38" s="18"/>
      <c r="B38" s="19">
        <v>49</v>
      </c>
      <c r="C38" s="19">
        <v>230</v>
      </c>
      <c r="D38" s="19">
        <v>19</v>
      </c>
      <c r="E38" s="19">
        <v>38</v>
      </c>
      <c r="F38" s="19">
        <v>26</v>
      </c>
      <c r="G38" s="19">
        <v>5</v>
      </c>
      <c r="H38" s="19">
        <v>5</v>
      </c>
      <c r="I38" s="19">
        <v>8</v>
      </c>
      <c r="J38" s="19">
        <v>8</v>
      </c>
      <c r="K38" s="19">
        <v>7</v>
      </c>
      <c r="L38" s="19">
        <v>10</v>
      </c>
      <c r="M38" s="19">
        <v>17</v>
      </c>
      <c r="N38" s="19">
        <v>9</v>
      </c>
      <c r="O38" s="24"/>
      <c r="P38" s="18"/>
      <c r="Q38" s="18"/>
      <c r="R38" s="4"/>
      <c r="S38" s="4"/>
      <c r="T38" s="4"/>
      <c r="U38" s="4"/>
      <c r="V38" s="1"/>
      <c r="W38" s="1"/>
      <c r="X38" s="1"/>
      <c r="Y38" s="1"/>
      <c r="Z38" s="1"/>
      <c r="AA38" s="1"/>
      <c r="AB38" s="1"/>
    </row>
    <row r="39" spans="1:28" ht="14.25" customHeight="1">
      <c r="A39" s="18"/>
      <c r="B39" s="19">
        <v>40</v>
      </c>
      <c r="C39" s="19">
        <v>115</v>
      </c>
      <c r="D39" s="19">
        <v>0</v>
      </c>
      <c r="E39" s="19">
        <v>0</v>
      </c>
      <c r="F39" s="19">
        <v>13</v>
      </c>
      <c r="G39" s="19">
        <v>1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3</v>
      </c>
      <c r="O39" s="24"/>
      <c r="P39" s="18"/>
      <c r="Q39" s="18"/>
      <c r="R39" s="20"/>
      <c r="S39" s="20"/>
      <c r="T39" s="20"/>
      <c r="U39" s="20"/>
      <c r="V39" s="21"/>
      <c r="W39" s="1"/>
      <c r="X39" s="1"/>
      <c r="Y39" s="1"/>
      <c r="Z39" s="1"/>
      <c r="AA39" s="1"/>
      <c r="AB39" s="1"/>
    </row>
    <row r="40" spans="1:28" ht="14.25" customHeight="1">
      <c r="A40" s="22" t="s">
        <v>20</v>
      </c>
      <c r="B40" s="23">
        <f>PRODUCT(SEMANAL!$D6,B$38)/1000+PRODUCT(SEMANAL!$B6,B$39)/1000</f>
        <v>10.925000000000001</v>
      </c>
      <c r="C40" s="23">
        <f>PRODUCT(SEMANAL!$D6,C$38)/1000+PRODUCT(SEMANAL!$B6,C$39)/1000</f>
        <v>42.55</v>
      </c>
      <c r="D40" s="23">
        <f>PRODUCT(SEMANAL!$D6,D$38)/1000+PRODUCT(SEMANAL!$B6,D$39)/1000</f>
        <v>2.375</v>
      </c>
      <c r="E40" s="23">
        <f>PRODUCT(SEMANAL!$D6,E$38)/1000+PRODUCT(SEMANAL!$B6,E$39)/1000</f>
        <v>4.75</v>
      </c>
      <c r="F40" s="23">
        <f>PRODUCT(SEMANAL!$D6,F$38)/1000+PRODUCT(SEMANAL!$B6,F$39)/1000</f>
        <v>4.8100000000000005</v>
      </c>
      <c r="G40" s="23">
        <f>PRODUCT(SEMANAL!$D6,G$38)/1000+PRODUCT(SEMANAL!$B6,G$39)/1000</f>
        <v>0.745</v>
      </c>
      <c r="H40" s="23">
        <f>PRODUCT(SEMANAL!$D6,H$38)/1000+PRODUCT(SEMANAL!$B6,H$39)/1000</f>
        <v>0.625</v>
      </c>
      <c r="I40" s="23">
        <f>PRODUCT(SEMANAL!$D6,I$38)/1000+PRODUCT(SEMANAL!$B6,I$39)/1000</f>
        <v>1</v>
      </c>
      <c r="J40" s="23">
        <f>PRODUCT(SEMANAL!$D6,J$38)/1000+PRODUCT(SEMANAL!$B6,J$39)/1000</f>
        <v>1</v>
      </c>
      <c r="K40" s="23">
        <f>PRODUCT(SEMANAL!$D6,K$38)/1000+PRODUCT(SEMANAL!$B6,K$39)/1000</f>
        <v>0.875</v>
      </c>
      <c r="L40" s="23">
        <f>PRODUCT(SEMANAL!$D6,L$38)/1000+PRODUCT(SEMANAL!$B6,L$39)/1000</f>
        <v>1.25</v>
      </c>
      <c r="M40" s="23">
        <f>PRODUCT(SEMANAL!$D6,M$38)/1000+PRODUCT(SEMANAL!$B6,M$39)/1000</f>
        <v>2.125</v>
      </c>
      <c r="N40" s="23">
        <f>PRODUCT(SEMANAL!$D6,N$38)/1000+PRODUCT(SEMANAL!$B6,N$39)/1000</f>
        <v>1.4849999999999999</v>
      </c>
      <c r="O40" s="24">
        <f>SUM('OC FRUT y VERD AZUL 2'!B36:N36)</f>
        <v>64</v>
      </c>
      <c r="P40" s="18">
        <v>2390</v>
      </c>
      <c r="Q40" s="18">
        <f t="shared" ref="Q40:Q52" si="1">O40*P40</f>
        <v>152960</v>
      </c>
      <c r="R40" s="20"/>
      <c r="S40" s="20"/>
      <c r="T40" s="20"/>
      <c r="U40" s="20"/>
      <c r="V40" s="21"/>
      <c r="W40" s="1"/>
      <c r="X40" s="1"/>
      <c r="Y40" s="1"/>
      <c r="Z40" s="1"/>
      <c r="AA40" s="1"/>
      <c r="AB40" s="1"/>
    </row>
    <row r="41" spans="1:28" ht="14.25" customHeight="1">
      <c r="A41" s="22" t="s">
        <v>21</v>
      </c>
      <c r="B41" s="23">
        <f>PRODUCT(SEMANAL!$D$7,B$38)/1000+PRODUCT(SEMANAL!$B$7,B$39)/1000</f>
        <v>4.8</v>
      </c>
      <c r="C41" s="23">
        <f>PRODUCT(SEMANAL!$D$7,C$38)/1000+PRODUCT(SEMANAL!$B$7,C$39)/1000</f>
        <v>13.8</v>
      </c>
      <c r="D41" s="23">
        <f>PRODUCT(SEMANAL!$D$7,D$38)/1000+PRODUCT(SEMANAL!$B$7,D$39)/1000</f>
        <v>0</v>
      </c>
      <c r="E41" s="23">
        <f>PRODUCT(SEMANAL!$D$7,E$38)/1000+PRODUCT(SEMANAL!$B$7,E$39)/1000</f>
        <v>0</v>
      </c>
      <c r="F41" s="23">
        <f>PRODUCT(SEMANAL!$D$7,F$38)/1000+PRODUCT(SEMANAL!$B$7,F$39)/1000</f>
        <v>1.56</v>
      </c>
      <c r="G41" s="23">
        <f>PRODUCT(SEMANAL!$D$7,G$38)/1000+PRODUCT(SEMANAL!$B$7,G$39)/1000</f>
        <v>0.12</v>
      </c>
      <c r="H41" s="23">
        <f>PRODUCT(SEMANAL!$D$7,H$38)/1000+PRODUCT(SEMANAL!$B$7,H$39)/1000</f>
        <v>0</v>
      </c>
      <c r="I41" s="23">
        <f>PRODUCT(SEMANAL!$D$7,I$38)/1000+PRODUCT(SEMANAL!$B$7,I$39)/1000</f>
        <v>0</v>
      </c>
      <c r="J41" s="23">
        <f>PRODUCT(SEMANAL!$D$7,J$38)/1000+PRODUCT(SEMANAL!$B$7,J$39)/1000</f>
        <v>0</v>
      </c>
      <c r="K41" s="23">
        <f>PRODUCT(SEMANAL!$D$7,K$38)/1000+PRODUCT(SEMANAL!$B$7,K$39)/1000</f>
        <v>0</v>
      </c>
      <c r="L41" s="23">
        <f>PRODUCT(SEMANAL!$D$7,L$38)/1000+PRODUCT(SEMANAL!$B$7,L$39)/1000</f>
        <v>0</v>
      </c>
      <c r="M41" s="23">
        <f>PRODUCT(SEMANAL!$D$7,M$38)/1000+PRODUCT(SEMANAL!$B$7,M$39)/1000</f>
        <v>0</v>
      </c>
      <c r="N41" s="23">
        <f>PRODUCT(SEMANAL!$D$7,N$38)/1000+PRODUCT(SEMANAL!$B$7,N$39)/1000</f>
        <v>0.36</v>
      </c>
      <c r="O41" s="24">
        <f>SUM('OC FRUT y VERD AZUL 2'!B37:N37)</f>
        <v>22</v>
      </c>
      <c r="P41" s="18">
        <v>2550</v>
      </c>
      <c r="Q41" s="18">
        <f t="shared" si="1"/>
        <v>56100</v>
      </c>
      <c r="R41" s="20"/>
      <c r="S41" s="20"/>
      <c r="T41" s="20"/>
      <c r="U41" s="20"/>
      <c r="V41" s="21"/>
      <c r="W41" s="1"/>
      <c r="X41" s="1"/>
      <c r="Y41" s="1"/>
      <c r="Z41" s="1"/>
      <c r="AA41" s="1"/>
      <c r="AB41" s="1"/>
    </row>
    <row r="42" spans="1:28" ht="14.25" customHeight="1">
      <c r="A42" s="22" t="s">
        <v>22</v>
      </c>
      <c r="B42" s="23">
        <f>PRODUCT(SEMANAL!$D8,B$38)/1000+PRODUCT(SEMANAL!$B8,B$39)/1000</f>
        <v>21.85</v>
      </c>
      <c r="C42" s="23">
        <f>PRODUCT(SEMANAL!$D8,C$38)/1000+PRODUCT(SEMANAL!$B8,C$39)/1000</f>
        <v>85.1</v>
      </c>
      <c r="D42" s="23">
        <f>PRODUCT(SEMANAL!$D8,D$38)/1000+PRODUCT(SEMANAL!$B8,D$39)/1000</f>
        <v>4.75</v>
      </c>
      <c r="E42" s="23">
        <f>PRODUCT(SEMANAL!$D8,E$38)/1000+PRODUCT(SEMANAL!$B8,E$39)/1000</f>
        <v>9.5</v>
      </c>
      <c r="F42" s="23">
        <f>PRODUCT(SEMANAL!$D8,F$38)/1000+PRODUCT(SEMANAL!$B8,F$39)/1000</f>
        <v>9.620000000000001</v>
      </c>
      <c r="G42" s="23">
        <f>PRODUCT(SEMANAL!$D8,G$38)/1000+PRODUCT(SEMANAL!$B8,G$39)/1000</f>
        <v>1.49</v>
      </c>
      <c r="H42" s="23">
        <f>PRODUCT(SEMANAL!$D8,H$38)/1000+PRODUCT(SEMANAL!$B8,H$39)/1000</f>
        <v>1.25</v>
      </c>
      <c r="I42" s="23">
        <f>PRODUCT(SEMANAL!$D8,I$38)/1000+PRODUCT(SEMANAL!$B8,I$39)/1000</f>
        <v>2</v>
      </c>
      <c r="J42" s="23">
        <f>PRODUCT(SEMANAL!$D8,J$38)/1000+PRODUCT(SEMANAL!$B8,J$39)/1000</f>
        <v>2</v>
      </c>
      <c r="K42" s="23">
        <f>PRODUCT(SEMANAL!$D8,K$38)/1000+PRODUCT(SEMANAL!$B8,K$39)/1000</f>
        <v>1.75</v>
      </c>
      <c r="L42" s="23">
        <f>PRODUCT(SEMANAL!$D8,L$38)/1000+PRODUCT(SEMANAL!$B8,L$39)/1000</f>
        <v>2.5</v>
      </c>
      <c r="M42" s="23">
        <f>PRODUCT(SEMANAL!$D8,M$38)/1000+PRODUCT(SEMANAL!$B8,M$39)/1000</f>
        <v>4.25</v>
      </c>
      <c r="N42" s="23">
        <f>PRODUCT(SEMANAL!$D8,N$38)/1000+PRODUCT(SEMANAL!$B8,N$39)/1000</f>
        <v>2.9699999999999998</v>
      </c>
      <c r="O42" s="24">
        <f>SUM('OC FRUT y VERD AZUL 2'!B38:N38)</f>
        <v>142</v>
      </c>
      <c r="P42" s="18">
        <v>1710</v>
      </c>
      <c r="Q42" s="18">
        <f t="shared" si="1"/>
        <v>242820</v>
      </c>
      <c r="R42" s="20"/>
      <c r="S42" s="20"/>
      <c r="T42" s="20"/>
      <c r="U42" s="20"/>
      <c r="V42" s="21"/>
      <c r="W42" s="1"/>
      <c r="X42" s="1"/>
      <c r="Y42" s="1"/>
      <c r="Z42" s="1"/>
      <c r="AA42" s="1"/>
      <c r="AB42" s="1"/>
    </row>
    <row r="43" spans="1:28" ht="14.25" customHeight="1">
      <c r="A43" s="22" t="s">
        <v>23</v>
      </c>
      <c r="B43" s="23">
        <f>PRODUCT(SEMANAL!$D9,B$38)/1000+PRODUCT(SEMANAL!$B9,B$39)/1000</f>
        <v>0</v>
      </c>
      <c r="C43" s="23">
        <f>PRODUCT(SEMANAL!$D9,C$38)/1000+PRODUCT(SEMANAL!$B9,C$39)/1000</f>
        <v>0</v>
      </c>
      <c r="D43" s="23">
        <f>PRODUCT(SEMANAL!$D9,D$38)/1000+PRODUCT(SEMANAL!$B9,D$39)/1000</f>
        <v>0</v>
      </c>
      <c r="E43" s="23">
        <f>PRODUCT(SEMANAL!$D9,E$38)/1000+PRODUCT(SEMANAL!$B9,E$39)/1000</f>
        <v>0</v>
      </c>
      <c r="F43" s="23">
        <f>PRODUCT(SEMANAL!$D9,F$38)/1000+PRODUCT(SEMANAL!$B9,F$39)/1000</f>
        <v>0</v>
      </c>
      <c r="G43" s="23">
        <f>PRODUCT(SEMANAL!$D9,G$38)/1000+PRODUCT(SEMANAL!$B9,G$39)/1000</f>
        <v>0</v>
      </c>
      <c r="H43" s="23">
        <f>PRODUCT(SEMANAL!$D9,H$38)/1000+PRODUCT(SEMANAL!$B9,H$39)/1000</f>
        <v>0</v>
      </c>
      <c r="I43" s="23">
        <f>PRODUCT(SEMANAL!$D9,I$38)/1000+PRODUCT(SEMANAL!$B9,I$39)/1000</f>
        <v>0</v>
      </c>
      <c r="J43" s="23">
        <f>PRODUCT(SEMANAL!$D9,J$38)/1000+PRODUCT(SEMANAL!$B9,J$39)/1000</f>
        <v>0</v>
      </c>
      <c r="K43" s="23">
        <f>PRODUCT(SEMANAL!$D9,K$38)/1000+PRODUCT(SEMANAL!$B9,K$39)/1000</f>
        <v>0</v>
      </c>
      <c r="L43" s="23">
        <f>PRODUCT(SEMANAL!$D9,L$38)/1000+PRODUCT(SEMANAL!$B9,L$39)/1000</f>
        <v>0</v>
      </c>
      <c r="M43" s="23">
        <f>PRODUCT(SEMANAL!$D9,M$38)/1000+PRODUCT(SEMANAL!$B9,M$39)/1000</f>
        <v>0</v>
      </c>
      <c r="N43" s="23">
        <f>PRODUCT(SEMANAL!$D9,N$38)/1000+PRODUCT(SEMANAL!$B9,N$39)/1000</f>
        <v>0</v>
      </c>
      <c r="O43" s="24">
        <f>SUM('OC FRUT y VERD AZUL 2'!B39:N39)</f>
        <v>0</v>
      </c>
      <c r="P43" s="18">
        <v>2200</v>
      </c>
      <c r="Q43" s="18">
        <f t="shared" si="1"/>
        <v>0</v>
      </c>
      <c r="R43" s="20"/>
      <c r="S43" s="20"/>
      <c r="T43" s="20"/>
      <c r="U43" s="20"/>
      <c r="V43" s="21"/>
      <c r="W43" s="1"/>
      <c r="X43" s="1"/>
      <c r="Y43" s="1"/>
      <c r="Z43" s="1"/>
      <c r="AA43" s="1"/>
      <c r="AB43" s="1"/>
    </row>
    <row r="44" spans="1:28" ht="14.25" customHeight="1">
      <c r="A44" s="22" t="s">
        <v>24</v>
      </c>
      <c r="B44" s="23">
        <f>PRODUCT(SEMANAL!$D10,B$38)/1000+PRODUCT(SEMANAL!$B10,B$39)/1000</f>
        <v>5.6</v>
      </c>
      <c r="C44" s="23">
        <f>PRODUCT(SEMANAL!$D10,C$38)/1000+PRODUCT(SEMANAL!$B10,C$39)/1000</f>
        <v>16.100000000000001</v>
      </c>
      <c r="D44" s="23">
        <f>PRODUCT(SEMANAL!$D10,D$38)/1000+PRODUCT(SEMANAL!$B10,D$39)/1000</f>
        <v>0</v>
      </c>
      <c r="E44" s="23">
        <f>PRODUCT(SEMANAL!$D10,E$38)/1000+PRODUCT(SEMANAL!$B10,E$39)/1000</f>
        <v>0</v>
      </c>
      <c r="F44" s="23">
        <f>PRODUCT(SEMANAL!$D10,F$38)/1000+PRODUCT(SEMANAL!$B10,F$39)/1000</f>
        <v>1.82</v>
      </c>
      <c r="G44" s="23">
        <f>PRODUCT(SEMANAL!$D10,G$38)/1000+PRODUCT(SEMANAL!$B10,G$39)/1000</f>
        <v>0.14000000000000001</v>
      </c>
      <c r="H44" s="23">
        <f>PRODUCT(SEMANAL!$D10,H$38)/1000+PRODUCT(SEMANAL!$B10,H$39)/1000</f>
        <v>0</v>
      </c>
      <c r="I44" s="23">
        <f>PRODUCT(SEMANAL!$D10,I$38)/1000+PRODUCT(SEMANAL!$B10,I$39)/1000</f>
        <v>0</v>
      </c>
      <c r="J44" s="23">
        <f>PRODUCT(SEMANAL!$D10,J$38)/1000+PRODUCT(SEMANAL!$B10,J$39)/1000</f>
        <v>0</v>
      </c>
      <c r="K44" s="23">
        <f>PRODUCT(SEMANAL!$D10,K$38)/1000+PRODUCT(SEMANAL!$B10,K$39)/1000</f>
        <v>0</v>
      </c>
      <c r="L44" s="23">
        <f>PRODUCT(SEMANAL!$D10,L$38)/1000+PRODUCT(SEMANAL!$B10,L$39)/1000</f>
        <v>0</v>
      </c>
      <c r="M44" s="23">
        <f>PRODUCT(SEMANAL!$D10,M$38)/1000+PRODUCT(SEMANAL!$B10,M$39)/1000</f>
        <v>0</v>
      </c>
      <c r="N44" s="23">
        <f>PRODUCT(SEMANAL!$D10,N$38)/1000+PRODUCT(SEMANAL!$B10,N$39)/1000</f>
        <v>0.42</v>
      </c>
      <c r="O44" s="24">
        <f>SUM('OC FRUT y VERD AZUL 2'!B40:N40)</f>
        <v>26</v>
      </c>
      <c r="P44" s="18">
        <v>1350</v>
      </c>
      <c r="Q44" s="18">
        <f t="shared" si="1"/>
        <v>35100</v>
      </c>
      <c r="R44" s="20"/>
      <c r="S44" s="20"/>
      <c r="T44" s="20"/>
      <c r="U44" s="20"/>
      <c r="V44" s="21"/>
      <c r="W44" s="1"/>
      <c r="X44" s="1"/>
      <c r="Y44" s="1"/>
      <c r="Z44" s="1"/>
      <c r="AA44" s="1"/>
      <c r="AB44" s="1"/>
    </row>
    <row r="45" spans="1:28" ht="14.25" customHeight="1">
      <c r="A45" s="22" t="s">
        <v>25</v>
      </c>
      <c r="B45" s="23">
        <f>PRODUCT(SEMANAL!$D11,B$38)/1000+PRODUCT(SEMANAL!B$11,B$39)/1000</f>
        <v>2</v>
      </c>
      <c r="C45" s="23">
        <f>PRODUCT(SEMANAL!$D11,C$38)/1000+PRODUCT(SEMANAL!C$11,C$39)/1000</f>
        <v>0.115</v>
      </c>
      <c r="D45" s="23">
        <f>PRODUCT(SEMANAL!$D11,D$38)/1000+PRODUCT(SEMANAL!D$11,D$39)/1000</f>
        <v>0</v>
      </c>
      <c r="E45" s="23">
        <f>PRODUCT(SEMANAL!$D11,E$38)/1000+PRODUCT(SEMANAL!E$11,E$39)/1000</f>
        <v>0</v>
      </c>
      <c r="F45" s="23">
        <f>PRODUCT(SEMANAL!$D11,F$38)/1000+PRODUCT(SEMANAL!F$11,F$39)/1000</f>
        <v>0.65</v>
      </c>
      <c r="G45" s="23">
        <f>PRODUCT(SEMANAL!$D11,G$38)/1000+PRODUCT(SEMANAL!G$11,G$39)/1000</f>
        <v>0</v>
      </c>
      <c r="H45" s="23">
        <f>PRODUCT(SEMANAL!$D11,H$38)/1000+PRODUCT(SEMANAL!H$11,H$39)/1000</f>
        <v>0</v>
      </c>
      <c r="I45" s="23">
        <f>PRODUCT(SEMANAL!$D11,I$38)/1000+PRODUCT(SEMANAL!I$11,I$39)/1000</f>
        <v>0</v>
      </c>
      <c r="J45" s="23">
        <f>PRODUCT(SEMANAL!$D11,J$38)/1000+PRODUCT(SEMANAL!J$11,J$39)/1000</f>
        <v>0</v>
      </c>
      <c r="K45" s="23">
        <f>PRODUCT(SEMANAL!$D11,K$38)/1000+PRODUCT(SEMANAL!K$11,K$39)/1000</f>
        <v>0</v>
      </c>
      <c r="L45" s="23">
        <f>PRODUCT(SEMANAL!$D11,L$38)/1000+PRODUCT(SEMANAL!L$11,L$39)/1000</f>
        <v>0</v>
      </c>
      <c r="M45" s="23">
        <f>PRODUCT(SEMANAL!$D11,M$38)/1000+PRODUCT(SEMANAL!M$11,M$39)/1000</f>
        <v>0</v>
      </c>
      <c r="N45" s="23">
        <f>PRODUCT(SEMANAL!$D11,N$38)/1000+PRODUCT(SEMANAL!N$11,N$39)/1000</f>
        <v>3.0000000000000001E-3</v>
      </c>
      <c r="O45" s="24">
        <f>SUM('OC FRUT y VERD AZUL 2'!B41:N41)</f>
        <v>2</v>
      </c>
      <c r="P45" s="18">
        <v>1950</v>
      </c>
      <c r="Q45" s="18">
        <f t="shared" si="1"/>
        <v>3900</v>
      </c>
      <c r="R45" s="20"/>
      <c r="S45" s="20"/>
      <c r="T45" s="20"/>
      <c r="U45" s="20"/>
      <c r="V45" s="21"/>
      <c r="W45" s="1"/>
      <c r="X45" s="1"/>
      <c r="Y45" s="1"/>
      <c r="Z45" s="1"/>
      <c r="AA45" s="1"/>
      <c r="AB45" s="1"/>
    </row>
    <row r="46" spans="1:28" ht="14.25" customHeight="1">
      <c r="A46" s="22" t="s">
        <v>26</v>
      </c>
      <c r="B46" s="23">
        <f>PRODUCT(SEMANAL!$D12,B$38)/1000+PRODUCT(SEMANAL!$B12,B$39)/1000</f>
        <v>8</v>
      </c>
      <c r="C46" s="23">
        <f>PRODUCT(SEMANAL!$D12,C$38)/1000+PRODUCT(SEMANAL!$B12,C$39)/1000</f>
        <v>23</v>
      </c>
      <c r="D46" s="23">
        <f>PRODUCT(SEMANAL!$D12,D$38)/1000+PRODUCT(SEMANAL!$B12,D$39)/1000</f>
        <v>0</v>
      </c>
      <c r="E46" s="23">
        <f>PRODUCT(SEMANAL!$D12,E$38)/1000+PRODUCT(SEMANAL!$B12,E$39)/1000</f>
        <v>0</v>
      </c>
      <c r="F46" s="23">
        <f>PRODUCT(SEMANAL!$D12,F$38)/1000+PRODUCT(SEMANAL!$B12,F$39)/1000</f>
        <v>2.6</v>
      </c>
      <c r="G46" s="23">
        <f>PRODUCT(SEMANAL!$D12,G$38)/1000+PRODUCT(SEMANAL!$B12,G$39)/1000</f>
        <v>0.2</v>
      </c>
      <c r="H46" s="23">
        <f>PRODUCT(SEMANAL!$D12,H$38)/1000+PRODUCT(SEMANAL!$B12,H$39)/1000</f>
        <v>0</v>
      </c>
      <c r="I46" s="23">
        <f>PRODUCT(SEMANAL!$D12,I$38)/1000+PRODUCT(SEMANAL!$B12,I$39)/1000</f>
        <v>0</v>
      </c>
      <c r="J46" s="23">
        <f>PRODUCT(SEMANAL!$D12,J$38)/1000+PRODUCT(SEMANAL!$B12,J$39)/1000</f>
        <v>0</v>
      </c>
      <c r="K46" s="23">
        <f>PRODUCT(SEMANAL!$D12,K$38)/1000+PRODUCT(SEMANAL!$B12,K$39)/1000</f>
        <v>0</v>
      </c>
      <c r="L46" s="23">
        <f>PRODUCT(SEMANAL!$D12,L$38)/1000+PRODUCT(SEMANAL!$B12,L$39)/1000</f>
        <v>0</v>
      </c>
      <c r="M46" s="23">
        <f>PRODUCT(SEMANAL!$D12,M$38)/1000+PRODUCT(SEMANAL!$B12,M$39)/1000</f>
        <v>0</v>
      </c>
      <c r="N46" s="23">
        <f>PRODUCT(SEMANAL!$D12,N$38)/1000+PRODUCT(SEMANAL!$B12,N$39)/1000</f>
        <v>0.6</v>
      </c>
      <c r="O46" s="24">
        <f>SUM('OC FRUT y VERD AZUL 2'!B42:N42)</f>
        <v>35</v>
      </c>
      <c r="P46" s="18">
        <v>1090</v>
      </c>
      <c r="Q46" s="18">
        <f t="shared" si="1"/>
        <v>38150</v>
      </c>
      <c r="R46" s="20"/>
      <c r="S46" s="20"/>
      <c r="T46" s="20"/>
      <c r="U46" s="20"/>
      <c r="V46" s="21"/>
      <c r="W46" s="1"/>
      <c r="X46" s="1"/>
      <c r="Y46" s="1"/>
      <c r="Z46" s="1"/>
      <c r="AA46" s="1"/>
      <c r="AB46" s="1"/>
    </row>
    <row r="47" spans="1:28" ht="14.25" customHeight="1">
      <c r="A47" s="22" t="s">
        <v>27</v>
      </c>
      <c r="B47" s="23">
        <f>PRODUCT(SEMANAL!$D13,B$38)/1000+PRODUCT(SEMANAL!$B13,B$39)/1000</f>
        <v>3</v>
      </c>
      <c r="C47" s="23">
        <f>PRODUCT(SEMANAL!$D13,C$38)/1000+PRODUCT(SEMANAL!$B13,C$39)/1000</f>
        <v>8.625</v>
      </c>
      <c r="D47" s="23">
        <f>PRODUCT(SEMANAL!$D13,D$38)/1000+PRODUCT(SEMANAL!$B13,D$39)/1000</f>
        <v>0</v>
      </c>
      <c r="E47" s="23">
        <f>PRODUCT(SEMANAL!$D13,E$38)/1000+PRODUCT(SEMANAL!$B13,E$39)/1000</f>
        <v>0</v>
      </c>
      <c r="F47" s="23">
        <f>PRODUCT(SEMANAL!$D13,F$38)/1000+PRODUCT(SEMANAL!$B13,F$39)/1000</f>
        <v>0.97499999999999998</v>
      </c>
      <c r="G47" s="23">
        <f>PRODUCT(SEMANAL!$D13,G$38)/1000+PRODUCT(SEMANAL!$B13,G$39)/1000</f>
        <v>7.4999999999999997E-2</v>
      </c>
      <c r="H47" s="23">
        <f>PRODUCT(SEMANAL!$D13,H$38)/1000+PRODUCT(SEMANAL!$B13,H$39)/1000</f>
        <v>0</v>
      </c>
      <c r="I47" s="23">
        <f>PRODUCT(SEMANAL!$D13,I$38)/1000+PRODUCT(SEMANAL!$B13,I$39)/1000</f>
        <v>0</v>
      </c>
      <c r="J47" s="23">
        <f>PRODUCT(SEMANAL!$D13,J$38)/1000+PRODUCT(SEMANAL!$B13,J$39)/1000</f>
        <v>0</v>
      </c>
      <c r="K47" s="23">
        <f>PRODUCT(SEMANAL!$D13,K$38)/1000+PRODUCT(SEMANAL!$B13,K$39)/1000</f>
        <v>0</v>
      </c>
      <c r="L47" s="23">
        <f>PRODUCT(SEMANAL!$D13,L$38)/1000+PRODUCT(SEMANAL!$B13,L$39)/1000</f>
        <v>0</v>
      </c>
      <c r="M47" s="23">
        <f>PRODUCT(SEMANAL!$D13,M$38)/1000+PRODUCT(SEMANAL!$B13,M$39)/1000</f>
        <v>0</v>
      </c>
      <c r="N47" s="23">
        <f>PRODUCT(SEMANAL!$D13,N$38)/1000+PRODUCT(SEMANAL!$B13,N$39)/1000</f>
        <v>0.22500000000000001</v>
      </c>
      <c r="O47" s="24">
        <f>SUM('OC FRUT y VERD AZUL 2'!B43:N43)</f>
        <v>10</v>
      </c>
      <c r="P47" s="18">
        <v>1090</v>
      </c>
      <c r="Q47" s="18">
        <f t="shared" si="1"/>
        <v>10900</v>
      </c>
      <c r="R47" s="20"/>
      <c r="S47" s="20"/>
      <c r="T47" s="20"/>
      <c r="U47" s="20"/>
      <c r="V47" s="21"/>
      <c r="W47" s="1"/>
      <c r="X47" s="1"/>
      <c r="Y47" s="1"/>
      <c r="Z47" s="1"/>
      <c r="AA47" s="1"/>
      <c r="AB47" s="1"/>
    </row>
    <row r="48" spans="1:28" ht="14.25" customHeight="1">
      <c r="A48" s="22" t="s">
        <v>28</v>
      </c>
      <c r="B48" s="23">
        <f>PRODUCT(SEMANAL!$D14,B$38)/1000+PRODUCT(SEMANAL!$B14,B$39)/1000</f>
        <v>2</v>
      </c>
      <c r="C48" s="23">
        <f>PRODUCT(SEMANAL!$D14,C$38)/1000+PRODUCT(SEMANAL!$B14,C$39)/1000</f>
        <v>5.75</v>
      </c>
      <c r="D48" s="23">
        <f>PRODUCT(SEMANAL!$D14,D$38)/1000+PRODUCT(SEMANAL!$B14,D$39)/1000</f>
        <v>0</v>
      </c>
      <c r="E48" s="23">
        <f>PRODUCT(SEMANAL!$D14,E$38)/1000+PRODUCT(SEMANAL!$B14,E$39)/1000</f>
        <v>0</v>
      </c>
      <c r="F48" s="23">
        <f>PRODUCT(SEMANAL!$D14,F$38)/1000+PRODUCT(SEMANAL!$B14,F$39)/1000</f>
        <v>0.65</v>
      </c>
      <c r="G48" s="23">
        <f>PRODUCT(SEMANAL!$D14,G$38)/1000+PRODUCT(SEMANAL!$B14,G$39)/1000</f>
        <v>0.05</v>
      </c>
      <c r="H48" s="23">
        <f>PRODUCT(SEMANAL!$D14,H$38)/1000+PRODUCT(SEMANAL!$B14,H$39)/1000</f>
        <v>0</v>
      </c>
      <c r="I48" s="23">
        <f>PRODUCT(SEMANAL!$D14,I$38)/1000+PRODUCT(SEMANAL!$B14,I$39)/1000</f>
        <v>0</v>
      </c>
      <c r="J48" s="23">
        <f>PRODUCT(SEMANAL!$D14,J$38)/1000+PRODUCT(SEMANAL!$B14,J$39)/1000</f>
        <v>0</v>
      </c>
      <c r="K48" s="23">
        <f>PRODUCT(SEMANAL!$D14,K$38)/1000+PRODUCT(SEMANAL!$B14,K$39)/1000</f>
        <v>0</v>
      </c>
      <c r="L48" s="23">
        <f>PRODUCT(SEMANAL!$D14,L$38)/1000+PRODUCT(SEMANAL!$B14,L$39)/1000</f>
        <v>0</v>
      </c>
      <c r="M48" s="23">
        <f>PRODUCT(SEMANAL!$D14,M$38)/1000+PRODUCT(SEMANAL!$B14,M$39)/1000</f>
        <v>0</v>
      </c>
      <c r="N48" s="23">
        <f>PRODUCT(SEMANAL!$D14,N$38)/1000+PRODUCT(SEMANAL!$B14,N$39)/1000</f>
        <v>0.15</v>
      </c>
      <c r="O48" s="24">
        <f>SUM('OC FRUT y VERD AZUL 2'!B44:N44)</f>
        <v>7</v>
      </c>
      <c r="P48" s="18">
        <v>1590</v>
      </c>
      <c r="Q48" s="18">
        <f t="shared" si="1"/>
        <v>11130</v>
      </c>
      <c r="R48" s="20"/>
      <c r="S48" s="20"/>
      <c r="T48" s="20"/>
      <c r="U48" s="20"/>
      <c r="V48" s="21"/>
      <c r="W48" s="1"/>
      <c r="X48" s="1"/>
      <c r="Y48" s="1"/>
      <c r="Z48" s="1"/>
      <c r="AA48" s="1"/>
      <c r="AB48" s="1"/>
    </row>
    <row r="49" spans="1:28" ht="14.25" customHeight="1">
      <c r="A49" s="22" t="s">
        <v>29</v>
      </c>
      <c r="B49" s="23">
        <f>PRODUCT(SEMANAL!$D15,B$38)/1000+PRODUCT(SEMANAL!$B15,B$39)/1000</f>
        <v>1.4</v>
      </c>
      <c r="C49" s="23">
        <f>PRODUCT(SEMANAL!$D15,C$38)/1000+PRODUCT(SEMANAL!$B15,C$39)/1000</f>
        <v>4.0250000000000004</v>
      </c>
      <c r="D49" s="23">
        <f>PRODUCT(SEMANAL!$D15,D$38)/1000+PRODUCT(SEMANAL!$B15,D$39)/1000</f>
        <v>0</v>
      </c>
      <c r="E49" s="23">
        <f>PRODUCT(SEMANAL!$D15,E$38)/1000+PRODUCT(SEMANAL!$B15,E$39)/1000</f>
        <v>0</v>
      </c>
      <c r="F49" s="23">
        <f>PRODUCT(SEMANAL!$D15,F$38)/1000+PRODUCT(SEMANAL!$B15,F$39)/1000</f>
        <v>0.45500000000000002</v>
      </c>
      <c r="G49" s="23">
        <f>PRODUCT(SEMANAL!$D15,G$38)/1000+PRODUCT(SEMANAL!$B15,G$39)/1000</f>
        <v>3.5000000000000003E-2</v>
      </c>
      <c r="H49" s="23">
        <f>PRODUCT(SEMANAL!$D15,H$38)/1000+PRODUCT(SEMANAL!$B15,H$39)/1000</f>
        <v>0</v>
      </c>
      <c r="I49" s="23">
        <f>PRODUCT(SEMANAL!$D15,I$38)/1000+PRODUCT(SEMANAL!$B15,I$39)/1000</f>
        <v>0</v>
      </c>
      <c r="J49" s="23">
        <f>PRODUCT(SEMANAL!$D15,J$38)/1000+PRODUCT(SEMANAL!$B15,J$39)/1000</f>
        <v>0</v>
      </c>
      <c r="K49" s="23">
        <f>PRODUCT(SEMANAL!$D15,K$38)/1000+PRODUCT(SEMANAL!$B15,K$39)/1000</f>
        <v>0</v>
      </c>
      <c r="L49" s="23">
        <f>PRODUCT(SEMANAL!$D15,L$38)/1000+PRODUCT(SEMANAL!$B15,L$39)/1000</f>
        <v>0</v>
      </c>
      <c r="M49" s="23">
        <f>PRODUCT(SEMANAL!$D15,M$38)/1000+PRODUCT(SEMANAL!$B15,M$39)/1000</f>
        <v>0</v>
      </c>
      <c r="N49" s="23">
        <f>PRODUCT(SEMANAL!$D15,N$38)/1000+PRODUCT(SEMANAL!$B15,N$39)/1000</f>
        <v>0.105</v>
      </c>
      <c r="O49" s="24">
        <f>SUM('OC FRUT y VERD AZUL 2'!B45:N45)</f>
        <v>8</v>
      </c>
      <c r="P49" s="18">
        <v>1890</v>
      </c>
      <c r="Q49" s="18">
        <f t="shared" si="1"/>
        <v>15120</v>
      </c>
      <c r="R49" s="20"/>
      <c r="S49" s="20"/>
      <c r="T49" s="20"/>
      <c r="U49" s="20"/>
      <c r="V49" s="21"/>
      <c r="W49" s="1"/>
      <c r="X49" s="1"/>
      <c r="Y49" s="1"/>
      <c r="Z49" s="1"/>
      <c r="AA49" s="1"/>
      <c r="AB49" s="1"/>
    </row>
    <row r="50" spans="1:28" ht="14.25" customHeight="1">
      <c r="A50" s="22" t="s">
        <v>30</v>
      </c>
      <c r="B50" s="23">
        <f>PRODUCT(SEMANAL!$D16,B$38)/1000+PRODUCT(SEMANAL!$B16,B$39)/1000</f>
        <v>8.0000000000000002E-3</v>
      </c>
      <c r="C50" s="23">
        <f>PRODUCT(SEMANAL!$D16,C$38)/1000+PRODUCT(SEMANAL!$B16,C$39)/1000</f>
        <v>2.3E-2</v>
      </c>
      <c r="D50" s="23">
        <f>PRODUCT(SEMANAL!$D16,D$38)/1000+PRODUCT(SEMANAL!$B16,D$39)/1000</f>
        <v>0</v>
      </c>
      <c r="E50" s="23">
        <f>PRODUCT(SEMANAL!$D16,E$38)/1000+PRODUCT(SEMANAL!$B16,E$39)/1000</f>
        <v>0</v>
      </c>
      <c r="F50" s="23">
        <f>PRODUCT(SEMANAL!$D16,F$38)/1000+PRODUCT(SEMANAL!$B16,F$39)/1000</f>
        <v>2.5999999999999999E-3</v>
      </c>
      <c r="G50" s="23">
        <f>PRODUCT(SEMANAL!$D16,G$38)/1000+PRODUCT(SEMANAL!$B16,G$39)/1000</f>
        <v>2.0000000000000001E-4</v>
      </c>
      <c r="H50" s="23">
        <f>PRODUCT(SEMANAL!$D16,H$38)/1000+PRODUCT(SEMANAL!$B16,H$39)/1000</f>
        <v>0</v>
      </c>
      <c r="I50" s="23">
        <f>PRODUCT(SEMANAL!$D16,I$38)/1000+PRODUCT(SEMANAL!$B16,I$39)/1000</f>
        <v>0</v>
      </c>
      <c r="J50" s="23">
        <f>PRODUCT(SEMANAL!$D16,J$38)/1000+PRODUCT(SEMANAL!$B16,J$39)/1000</f>
        <v>0</v>
      </c>
      <c r="K50" s="23">
        <f>PRODUCT(SEMANAL!$D16,K$38)/1000+PRODUCT(SEMANAL!$B16,K$39)/1000</f>
        <v>0</v>
      </c>
      <c r="L50" s="23">
        <f>PRODUCT(SEMANAL!$D16,L$38)/1000+PRODUCT(SEMANAL!$B16,L$39)/1000</f>
        <v>0</v>
      </c>
      <c r="M50" s="23">
        <f>PRODUCT(SEMANAL!$D16,M$38)/1000+PRODUCT(SEMANAL!$B16,M$39)/1000</f>
        <v>0</v>
      </c>
      <c r="N50" s="23">
        <f>PRODUCT(SEMANAL!$D16,N$38)/1000+PRODUCT(SEMANAL!$B16,N$39)/1000</f>
        <v>6.0000000000000006E-4</v>
      </c>
      <c r="O50" s="24">
        <f>SUM('OC FRUT y VERD AZUL 2'!B46:N46)</f>
        <v>3</v>
      </c>
      <c r="P50" s="18">
        <v>700</v>
      </c>
      <c r="Q50" s="18">
        <f t="shared" si="1"/>
        <v>2100</v>
      </c>
      <c r="R50" s="20"/>
      <c r="S50" s="20"/>
      <c r="T50" s="20"/>
      <c r="U50" s="20"/>
      <c r="V50" s="21"/>
      <c r="W50" s="1"/>
      <c r="X50" s="1"/>
      <c r="Y50" s="1"/>
      <c r="Z50" s="1"/>
      <c r="AA50" s="1"/>
      <c r="AB50" s="1"/>
    </row>
    <row r="51" spans="1:28" ht="14.25" customHeight="1">
      <c r="A51" s="22" t="s">
        <v>31</v>
      </c>
      <c r="B51" s="23">
        <f>PRODUCT(SEMANAL!$D17,B$38)/1000+PRODUCT(SEMANAL!$B17,B$39)/1000</f>
        <v>8.0000000000000002E-3</v>
      </c>
      <c r="C51" s="23">
        <f>PRODUCT(SEMANAL!$D17,C$38)/1000+PRODUCT(SEMANAL!$B17,C$39)/1000</f>
        <v>2.3E-2</v>
      </c>
      <c r="D51" s="23">
        <f>PRODUCT(SEMANAL!$D17,D$38)/1000+PRODUCT(SEMANAL!$B17,D$39)/1000</f>
        <v>0</v>
      </c>
      <c r="E51" s="23">
        <f>PRODUCT(SEMANAL!$D17,E$38)/1000+PRODUCT(SEMANAL!$B17,E$39)/1000</f>
        <v>0</v>
      </c>
      <c r="F51" s="23">
        <f>PRODUCT(SEMANAL!$D17,F$38)/1000+PRODUCT(SEMANAL!$B17,F$39)/1000</f>
        <v>2.5999999999999999E-3</v>
      </c>
      <c r="G51" s="23">
        <f>PRODUCT(SEMANAL!$D17,G$38)/1000+PRODUCT(SEMANAL!$B17,G$39)/1000</f>
        <v>2.0000000000000001E-4</v>
      </c>
      <c r="H51" s="23">
        <f>PRODUCT(SEMANAL!$D17,H$38)/1000+PRODUCT(SEMANAL!$B17,H$39)/1000</f>
        <v>0</v>
      </c>
      <c r="I51" s="23">
        <f>PRODUCT(SEMANAL!$D17,I$38)/1000+PRODUCT(SEMANAL!$B17,I$39)/1000</f>
        <v>0</v>
      </c>
      <c r="J51" s="23">
        <f>PRODUCT(SEMANAL!$D17,J$38)/1000+PRODUCT(SEMANAL!$B17,J$39)/1000</f>
        <v>0</v>
      </c>
      <c r="K51" s="23">
        <f>PRODUCT(SEMANAL!$D17,K$38)/1000+PRODUCT(SEMANAL!$B17,K$39)/1000</f>
        <v>0</v>
      </c>
      <c r="L51" s="23">
        <f>PRODUCT(SEMANAL!$D17,L$38)/1000+PRODUCT(SEMANAL!$B17,L$39)/1000</f>
        <v>0</v>
      </c>
      <c r="M51" s="23">
        <f>PRODUCT(SEMANAL!$D17,M$38)/1000+PRODUCT(SEMANAL!$B17,M$39)/1000</f>
        <v>0</v>
      </c>
      <c r="N51" s="23">
        <f>PRODUCT(SEMANAL!$D17,N$38)/1000+PRODUCT(SEMANAL!$B17,N$39)/1000</f>
        <v>6.0000000000000006E-4</v>
      </c>
      <c r="O51" s="24">
        <f>SUM('OC FRUT y VERD AZUL 2'!B47:N47)</f>
        <v>2</v>
      </c>
      <c r="P51" s="18">
        <v>1990</v>
      </c>
      <c r="Q51" s="18">
        <f t="shared" si="1"/>
        <v>3980</v>
      </c>
      <c r="R51" s="20"/>
      <c r="S51" s="20"/>
      <c r="T51" s="20"/>
      <c r="U51" s="20"/>
      <c r="V51" s="21"/>
      <c r="W51" s="1"/>
      <c r="X51" s="1"/>
      <c r="Y51" s="1"/>
      <c r="Z51" s="1"/>
      <c r="AA51" s="1"/>
      <c r="AB51" s="1"/>
    </row>
    <row r="52" spans="1:28" ht="14.25" customHeight="1">
      <c r="A52" s="22" t="s">
        <v>32</v>
      </c>
      <c r="B52" s="23">
        <f>PRODUCT(SEMANAL!$D18,B$38)/12+PRODUCT(SEMANAL!$B18,B$39)/12</f>
        <v>5</v>
      </c>
      <c r="C52" s="23">
        <f>PRODUCT(SEMANAL!$D18,C$38)/12+PRODUCT(SEMANAL!$B18,C$39)/12</f>
        <v>14.375</v>
      </c>
      <c r="D52" s="23">
        <f>PRODUCT(SEMANAL!$D18,D$38)/12+PRODUCT(SEMANAL!$B18,D$39)/12</f>
        <v>0</v>
      </c>
      <c r="E52" s="23">
        <f>PRODUCT(SEMANAL!$D18,E$38)/12+PRODUCT(SEMANAL!$B18,E$39)/12</f>
        <v>0</v>
      </c>
      <c r="F52" s="23">
        <f>PRODUCT(SEMANAL!$D18,F$38)/12+PRODUCT(SEMANAL!$B18,F$39)/12</f>
        <v>1.625</v>
      </c>
      <c r="G52" s="23">
        <f>PRODUCT(SEMANAL!$D18,G$38)/12+PRODUCT(SEMANAL!$B18,G$39)/12</f>
        <v>0.125</v>
      </c>
      <c r="H52" s="23">
        <f>PRODUCT(SEMANAL!$D18,H$38)/12+PRODUCT(SEMANAL!$B18,H$39)/12</f>
        <v>0</v>
      </c>
      <c r="I52" s="23">
        <f>PRODUCT(SEMANAL!$D18,I$38)/12+PRODUCT(SEMANAL!$B18,I$39)/12</f>
        <v>0</v>
      </c>
      <c r="J52" s="23">
        <f>PRODUCT(SEMANAL!$D18,J$38)/12+PRODUCT(SEMANAL!$B18,J$39)/12</f>
        <v>0</v>
      </c>
      <c r="K52" s="23">
        <f>PRODUCT(SEMANAL!$D18,K$38)/12+PRODUCT(SEMANAL!$B18,K$39)/12</f>
        <v>0</v>
      </c>
      <c r="L52" s="23">
        <f>PRODUCT(SEMANAL!$D18,L$38)/12+PRODUCT(SEMANAL!$B18,L$39)/12</f>
        <v>0</v>
      </c>
      <c r="M52" s="23">
        <f>PRODUCT(SEMANAL!$D18,M$38)/12+PRODUCT(SEMANAL!$B18,M$39)/12</f>
        <v>0</v>
      </c>
      <c r="N52" s="23">
        <f>PRODUCT(SEMANAL!$D18,N$38)/12+PRODUCT(SEMANAL!$B18,N$39)/12</f>
        <v>0.375</v>
      </c>
      <c r="O52" s="24">
        <f>SUM('OC FRUT y VERD AZUL 2'!B48:N48)</f>
        <v>17</v>
      </c>
      <c r="P52" s="18">
        <v>2100</v>
      </c>
      <c r="Q52" s="18">
        <f t="shared" si="1"/>
        <v>35700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4.2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24"/>
      <c r="P53" s="18" t="s">
        <v>33</v>
      </c>
      <c r="Q53" s="18">
        <f>Q40+Q41+Q42+Q43+Q44+Q45+Q46+Q47+Q48+Q49+Q50+Q51+Q52</f>
        <v>607960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4.2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24"/>
      <c r="P54" s="18"/>
      <c r="Q54" s="18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4.2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24"/>
      <c r="P55" s="18"/>
      <c r="Q55" s="18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4.2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24"/>
      <c r="P56" s="18"/>
      <c r="Q56" s="18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4.2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24"/>
      <c r="P57" s="18"/>
      <c r="Q57" s="18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4.2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24"/>
      <c r="P58" s="18"/>
      <c r="Q58" s="18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4.25" customHeight="1">
      <c r="A59" s="18"/>
      <c r="B59" s="28" t="s">
        <v>47</v>
      </c>
      <c r="C59" s="28" t="s">
        <v>48</v>
      </c>
      <c r="D59" s="28" t="s">
        <v>49</v>
      </c>
      <c r="E59" s="28" t="s">
        <v>50</v>
      </c>
      <c r="F59" s="28" t="s">
        <v>51</v>
      </c>
      <c r="G59" s="28" t="s">
        <v>52</v>
      </c>
      <c r="H59" s="28" t="s">
        <v>53</v>
      </c>
      <c r="I59" s="28" t="s">
        <v>54</v>
      </c>
      <c r="J59" s="28" t="s">
        <v>54</v>
      </c>
      <c r="K59" s="28" t="s">
        <v>55</v>
      </c>
      <c r="L59" s="28" t="s">
        <v>56</v>
      </c>
      <c r="M59" s="28" t="s">
        <v>56</v>
      </c>
      <c r="N59" s="29" t="s">
        <v>57</v>
      </c>
      <c r="O59" s="24"/>
      <c r="P59" s="18"/>
      <c r="Q59" s="18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4.25" customHeight="1">
      <c r="A60" s="18"/>
      <c r="B60" s="30"/>
      <c r="C60" s="30"/>
      <c r="D60" s="30"/>
      <c r="E60" s="30"/>
      <c r="F60" s="31" t="s">
        <v>58</v>
      </c>
      <c r="G60" s="30"/>
      <c r="H60" s="30"/>
      <c r="I60" s="31" t="s">
        <v>6</v>
      </c>
      <c r="J60" s="31" t="s">
        <v>59</v>
      </c>
      <c r="K60" s="30"/>
      <c r="L60" s="31" t="s">
        <v>60</v>
      </c>
      <c r="M60" s="31" t="s">
        <v>61</v>
      </c>
      <c r="N60" s="31" t="s">
        <v>62</v>
      </c>
      <c r="O60" s="24"/>
      <c r="P60" s="18"/>
      <c r="Q60" s="18"/>
      <c r="R60" s="25"/>
      <c r="S60" s="25"/>
      <c r="T60" s="25"/>
      <c r="U60" s="32"/>
      <c r="V60" s="1"/>
      <c r="W60" s="1"/>
      <c r="X60" s="1"/>
      <c r="Y60" s="1"/>
      <c r="Z60" s="1"/>
      <c r="AA60" s="1"/>
      <c r="AB60" s="1"/>
    </row>
    <row r="61" spans="1:28" ht="14.25" customHeight="1">
      <c r="A61" s="18"/>
      <c r="B61" s="19">
        <v>167</v>
      </c>
      <c r="C61" s="19">
        <v>148</v>
      </c>
      <c r="D61" s="19">
        <v>7</v>
      </c>
      <c r="E61" s="19">
        <v>178</v>
      </c>
      <c r="F61" s="19">
        <v>108</v>
      </c>
      <c r="G61" s="19">
        <v>35</v>
      </c>
      <c r="H61" s="19">
        <v>149</v>
      </c>
      <c r="I61" s="19">
        <v>99</v>
      </c>
      <c r="J61" s="19">
        <v>33</v>
      </c>
      <c r="K61" s="19">
        <v>150</v>
      </c>
      <c r="L61" s="19">
        <v>123</v>
      </c>
      <c r="M61" s="19">
        <v>78</v>
      </c>
      <c r="N61" s="19">
        <v>170</v>
      </c>
      <c r="O61" s="24"/>
      <c r="P61" s="18"/>
      <c r="Q61" s="18"/>
      <c r="R61" s="33"/>
      <c r="S61" s="25"/>
      <c r="T61" s="25"/>
      <c r="U61" s="25"/>
      <c r="V61" s="1"/>
      <c r="W61" s="1"/>
      <c r="X61" s="1"/>
      <c r="Y61" s="1"/>
      <c r="Z61" s="1"/>
      <c r="AA61" s="1"/>
      <c r="AB61" s="1"/>
    </row>
    <row r="62" spans="1:28" ht="14.25" customHeight="1">
      <c r="A62" s="18"/>
      <c r="B62" s="19">
        <v>60</v>
      </c>
      <c r="C62" s="19">
        <v>100</v>
      </c>
      <c r="D62" s="19">
        <v>0</v>
      </c>
      <c r="E62" s="19">
        <v>89</v>
      </c>
      <c r="F62" s="19">
        <v>0</v>
      </c>
      <c r="G62" s="19">
        <v>0</v>
      </c>
      <c r="H62" s="19">
        <v>149</v>
      </c>
      <c r="I62" s="19">
        <v>0</v>
      </c>
      <c r="J62" s="19">
        <v>0</v>
      </c>
      <c r="K62" s="19">
        <v>95</v>
      </c>
      <c r="L62" s="19">
        <v>0</v>
      </c>
      <c r="M62" s="19">
        <v>0</v>
      </c>
      <c r="N62" s="19">
        <v>70</v>
      </c>
      <c r="O62" s="24"/>
      <c r="P62" s="18"/>
      <c r="Q62" s="18"/>
      <c r="R62" s="12"/>
      <c r="S62" s="12"/>
      <c r="T62" s="4"/>
      <c r="U62" s="4"/>
      <c r="V62" s="1"/>
      <c r="W62" s="1"/>
      <c r="X62" s="1"/>
      <c r="Y62" s="1"/>
      <c r="Z62" s="1"/>
      <c r="AA62" s="1"/>
      <c r="AB62" s="1"/>
    </row>
    <row r="63" spans="1:28" ht="14.25" customHeight="1">
      <c r="A63" s="22" t="s">
        <v>20</v>
      </c>
      <c r="B63" s="23">
        <f>PRODUCT(SEMANAL!$D6,B$61)/1000+PRODUCT(SEMANAL!$B6,B$62)/1000</f>
        <v>28.074999999999999</v>
      </c>
      <c r="C63" s="23">
        <f>PRODUCT(SEMANAL!$D6,C$61)/1000+PRODUCT(SEMANAL!$B6,C$62)/1000</f>
        <v>30.5</v>
      </c>
      <c r="D63" s="23">
        <f>PRODUCT(SEMANAL!$D6,D$61)/1000+PRODUCT(SEMANAL!$B6,D$62)/1000</f>
        <v>0.875</v>
      </c>
      <c r="E63" s="23">
        <f>PRODUCT(SEMANAL!$D6,E$61)/1000+PRODUCT(SEMANAL!$B6,E$62)/1000</f>
        <v>32.93</v>
      </c>
      <c r="F63" s="23">
        <f>PRODUCT(SEMANAL!$D6,F$61)/1000+PRODUCT(SEMANAL!$B6,F$62)/1000</f>
        <v>13.5</v>
      </c>
      <c r="G63" s="23">
        <f>PRODUCT(SEMANAL!$D6,G$61)/1000+PRODUCT(SEMANAL!$B6,G$62)/1000</f>
        <v>4.375</v>
      </c>
      <c r="H63" s="23">
        <f>PRODUCT(SEMANAL!$D6,H$61)/1000+PRODUCT(SEMANAL!$B6,H$62)/1000</f>
        <v>36.504999999999995</v>
      </c>
      <c r="I63" s="23">
        <f>PRODUCT(SEMANAL!$D6,I$61)/1000+PRODUCT(SEMANAL!$B6,I$62)/1000</f>
        <v>12.375</v>
      </c>
      <c r="J63" s="23">
        <f>PRODUCT(SEMANAL!$D6,J$61)/1000+PRODUCT(SEMANAL!$B6,J$62)/1000</f>
        <v>4.125</v>
      </c>
      <c r="K63" s="23">
        <f>PRODUCT(SEMANAL!$D6,K$61)/1000+PRODUCT(SEMANAL!$B6,K$62)/1000</f>
        <v>30.15</v>
      </c>
      <c r="L63" s="23">
        <f>PRODUCT(SEMANAL!$D6,L$61)/1000+PRODUCT(SEMANAL!$B6,L$62)/1000</f>
        <v>15.375</v>
      </c>
      <c r="M63" s="23">
        <f>PRODUCT(SEMANAL!$D6,M$61)/1000+PRODUCT(SEMANAL!$B6,M$62)/1000</f>
        <v>9.75</v>
      </c>
      <c r="N63" s="23">
        <f>PRODUCT(SEMANAL!$D6,N$61)/1000+PRODUCT(SEMANAL!$B6,N$62)/1000</f>
        <v>29.65</v>
      </c>
      <c r="O63" s="24">
        <f>SUM('OC FRUT y VERD AZUL 2'!B59:N59)</f>
        <v>224</v>
      </c>
      <c r="P63" s="18">
        <v>2390</v>
      </c>
      <c r="Q63" s="18">
        <f t="shared" ref="Q63:Q75" si="2">O63*P63</f>
        <v>535360</v>
      </c>
      <c r="R63" s="4"/>
      <c r="S63" s="4"/>
      <c r="T63" s="4"/>
      <c r="U63" s="4"/>
      <c r="V63" s="1"/>
      <c r="W63" s="1"/>
      <c r="X63" s="1"/>
      <c r="Y63" s="1"/>
      <c r="Z63" s="1"/>
      <c r="AA63" s="1"/>
      <c r="AB63" s="1"/>
    </row>
    <row r="64" spans="1:28" ht="14.25" customHeight="1">
      <c r="A64" s="22" t="s">
        <v>21</v>
      </c>
      <c r="B64" s="23">
        <f>PRODUCT(SEMANAL!$D$7,B$61)/1000+PRODUCT(SEMANAL!$B$7,B$62)/1000</f>
        <v>7.2</v>
      </c>
      <c r="C64" s="23">
        <f>PRODUCT(SEMANAL!$D$7,C$61)/1000+PRODUCT(SEMANAL!$B$7,C$62)/1000</f>
        <v>12</v>
      </c>
      <c r="D64" s="23">
        <f>PRODUCT(SEMANAL!$D$7,D$61)/1000+PRODUCT(SEMANAL!$B$7,D$62)/1000</f>
        <v>0</v>
      </c>
      <c r="E64" s="23">
        <f>PRODUCT(SEMANAL!$D$7,E$61)/1000+PRODUCT(SEMANAL!$B$7,E$62)/1000</f>
        <v>10.68</v>
      </c>
      <c r="F64" s="23">
        <f>PRODUCT(SEMANAL!$D$7,F$61)/1000+PRODUCT(SEMANAL!$B$7,F$62)/1000</f>
        <v>0</v>
      </c>
      <c r="G64" s="23">
        <f>PRODUCT(SEMANAL!$D$7,G$61)/1000+PRODUCT(SEMANAL!$B$7,G$62)/1000</f>
        <v>0</v>
      </c>
      <c r="H64" s="23">
        <f>PRODUCT(SEMANAL!$D$7,H$61)/1000+PRODUCT(SEMANAL!$B$7,H$62)/1000</f>
        <v>17.88</v>
      </c>
      <c r="I64" s="23">
        <f>PRODUCT(SEMANAL!$D$7,I$61)/1000+PRODUCT(SEMANAL!$B$7,I$62)/1000</f>
        <v>0</v>
      </c>
      <c r="J64" s="23">
        <f>PRODUCT(SEMANAL!$D$7,J$61)/1000+PRODUCT(SEMANAL!$B$7,J$62)/1000</f>
        <v>0</v>
      </c>
      <c r="K64" s="23">
        <f>PRODUCT(SEMANAL!$D$7,K$61)/1000+PRODUCT(SEMANAL!$B$7,K$62)/1000</f>
        <v>11.4</v>
      </c>
      <c r="L64" s="23">
        <f>PRODUCT(SEMANAL!$D$7,L$61)/1000+PRODUCT(SEMANAL!$B$7,L$62)/1000</f>
        <v>0</v>
      </c>
      <c r="M64" s="23">
        <f>PRODUCT(SEMANAL!$D$7,M$61)/1000+PRODUCT(SEMANAL!$B$7,M$62)/1000</f>
        <v>0</v>
      </c>
      <c r="N64" s="23">
        <f>PRODUCT(SEMANAL!$D$7,N$61)/1000+PRODUCT(SEMANAL!$B$7,N$62)/1000</f>
        <v>8.4</v>
      </c>
      <c r="O64" s="24">
        <f>SUM('OC FRUT y VERD AZUL 2'!B60:N60)</f>
        <v>70</v>
      </c>
      <c r="P64" s="18">
        <v>2550</v>
      </c>
      <c r="Q64" s="18">
        <f t="shared" si="2"/>
        <v>178500</v>
      </c>
      <c r="R64" s="20"/>
      <c r="S64" s="20"/>
      <c r="T64" s="20"/>
      <c r="U64" s="20"/>
      <c r="V64" s="21"/>
      <c r="W64" s="1"/>
      <c r="X64" s="1"/>
      <c r="Y64" s="1"/>
      <c r="Z64" s="1"/>
      <c r="AA64" s="1"/>
      <c r="AB64" s="1"/>
    </row>
    <row r="65" spans="1:28" ht="14.25" customHeight="1">
      <c r="A65" s="22" t="s">
        <v>22</v>
      </c>
      <c r="B65" s="23">
        <f>PRODUCT(SEMANAL!$D8,B$61)/1000+PRODUCT(SEMANAL!$B8,B$62)/1000</f>
        <v>56.15</v>
      </c>
      <c r="C65" s="23">
        <f>PRODUCT(SEMANAL!$D8,C$61)/1000+PRODUCT(SEMANAL!$B8,C$62)/1000</f>
        <v>61</v>
      </c>
      <c r="D65" s="23">
        <f>PRODUCT(SEMANAL!$D8,D$61)/1000+PRODUCT(SEMANAL!$B8,D$62)/1000</f>
        <v>1.75</v>
      </c>
      <c r="E65" s="23">
        <f>PRODUCT(SEMANAL!$D8,E$61)/1000+PRODUCT(SEMANAL!$B8,E$62)/1000</f>
        <v>65.86</v>
      </c>
      <c r="F65" s="23">
        <f>PRODUCT(SEMANAL!$D8,F$61)/1000+PRODUCT(SEMANAL!$B8,F$62)/1000</f>
        <v>27</v>
      </c>
      <c r="G65" s="23">
        <f>PRODUCT(SEMANAL!$D8,G$61)/1000+PRODUCT(SEMANAL!$B8,G$62)/1000</f>
        <v>8.75</v>
      </c>
      <c r="H65" s="23">
        <f>PRODUCT(SEMANAL!$D8,H$61)/1000+PRODUCT(SEMANAL!$B8,H$62)/1000</f>
        <v>73.009999999999991</v>
      </c>
      <c r="I65" s="23">
        <f>PRODUCT(SEMANAL!$D8,I$61)/1000+PRODUCT(SEMANAL!$B8,I$62)/1000</f>
        <v>24.75</v>
      </c>
      <c r="J65" s="23">
        <f>PRODUCT(SEMANAL!$D8,J$61)/1000+PRODUCT(SEMANAL!$B8,J$62)/1000</f>
        <v>8.25</v>
      </c>
      <c r="K65" s="23">
        <f>PRODUCT(SEMANAL!$D8,K$61)/1000+PRODUCT(SEMANAL!$B8,K$62)/1000</f>
        <v>60.3</v>
      </c>
      <c r="L65" s="23">
        <f>PRODUCT(SEMANAL!$D8,L$61)/1000+PRODUCT(SEMANAL!$B8,L$62)/1000</f>
        <v>30.75</v>
      </c>
      <c r="M65" s="23">
        <f>PRODUCT(SEMANAL!$D8,M$61)/1000+PRODUCT(SEMANAL!$B8,M$62)/1000</f>
        <v>19.5</v>
      </c>
      <c r="N65" s="23">
        <f>PRODUCT(SEMANAL!$D8,N$61)/1000+PRODUCT(SEMANAL!$B8,N$62)/1000</f>
        <v>59.3</v>
      </c>
      <c r="O65" s="24">
        <f>SUM('OC FRUT y VERD AZUL 2'!B61:N61)</f>
        <v>502</v>
      </c>
      <c r="P65" s="18">
        <v>1710</v>
      </c>
      <c r="Q65" s="18">
        <f t="shared" si="2"/>
        <v>858420</v>
      </c>
      <c r="R65" s="20"/>
      <c r="S65" s="20"/>
      <c r="T65" s="20"/>
      <c r="U65" s="20"/>
      <c r="V65" s="21"/>
      <c r="W65" s="1"/>
      <c r="X65" s="1"/>
      <c r="Y65" s="1"/>
      <c r="Z65" s="1"/>
      <c r="AA65" s="1"/>
      <c r="AB65" s="1"/>
    </row>
    <row r="66" spans="1:28" ht="14.25" customHeight="1">
      <c r="A66" s="22" t="s">
        <v>23</v>
      </c>
      <c r="B66" s="23">
        <f>PRODUCT(SEMANAL!$D9,B$61)/1000+PRODUCT(SEMANAL!$B9,B$62)/1000</f>
        <v>0</v>
      </c>
      <c r="C66" s="23">
        <f>PRODUCT(SEMANAL!$D9,C$61)/1000+PRODUCT(SEMANAL!$B9,C$62)/1000</f>
        <v>0</v>
      </c>
      <c r="D66" s="23">
        <f>PRODUCT(SEMANAL!$D9,D$61)/1000+PRODUCT(SEMANAL!$B9,D$62)/1000</f>
        <v>0</v>
      </c>
      <c r="E66" s="23">
        <f>PRODUCT(SEMANAL!$D9,E$61)/1000+PRODUCT(SEMANAL!$B9,E$62)/1000</f>
        <v>0</v>
      </c>
      <c r="F66" s="23">
        <f>PRODUCT(SEMANAL!$D9,F$61)/1000+PRODUCT(SEMANAL!$B9,F$62)/1000</f>
        <v>0</v>
      </c>
      <c r="G66" s="23">
        <f>PRODUCT(SEMANAL!$D9,G$61)/1000+PRODUCT(SEMANAL!$B9,G$62)/1000</f>
        <v>0</v>
      </c>
      <c r="H66" s="23">
        <f>PRODUCT(SEMANAL!$D9,H$61)/1000+PRODUCT(SEMANAL!$B9,H$62)/1000</f>
        <v>0</v>
      </c>
      <c r="I66" s="23">
        <f>PRODUCT(SEMANAL!$D9,I$61)/1000+PRODUCT(SEMANAL!$B9,I$62)/1000</f>
        <v>0</v>
      </c>
      <c r="J66" s="23">
        <f>PRODUCT(SEMANAL!$D9,J$61)/1000+PRODUCT(SEMANAL!$B9,J$62)/1000</f>
        <v>0</v>
      </c>
      <c r="K66" s="23">
        <f>PRODUCT(SEMANAL!$D9,K$61)/1000+PRODUCT(SEMANAL!$B9,K$62)/1000</f>
        <v>0</v>
      </c>
      <c r="L66" s="23">
        <f>PRODUCT(SEMANAL!$D9,L$61)/1000+PRODUCT(SEMANAL!$B9,L$62)/1000</f>
        <v>0</v>
      </c>
      <c r="M66" s="23">
        <f>PRODUCT(SEMANAL!$D9,M$61)/1000+PRODUCT(SEMANAL!$B9,M$62)/1000</f>
        <v>0</v>
      </c>
      <c r="N66" s="23">
        <f>PRODUCT(SEMANAL!$D9,N$61)/1000+PRODUCT(SEMANAL!$B9,N$62)/1000</f>
        <v>0</v>
      </c>
      <c r="O66" s="24">
        <f>SUM('OC FRUT y VERD AZUL 2'!B62:N62)</f>
        <v>0</v>
      </c>
      <c r="P66" s="18">
        <v>2200</v>
      </c>
      <c r="Q66" s="18">
        <f t="shared" si="2"/>
        <v>0</v>
      </c>
      <c r="R66" s="20"/>
      <c r="S66" s="20"/>
      <c r="T66" s="20"/>
      <c r="U66" s="20"/>
      <c r="V66" s="21"/>
      <c r="W66" s="1"/>
      <c r="X66" s="1"/>
      <c r="Y66" s="1"/>
      <c r="Z66" s="1"/>
      <c r="AA66" s="1"/>
      <c r="AB66" s="1"/>
    </row>
    <row r="67" spans="1:28" ht="14.25" customHeight="1">
      <c r="A67" s="22" t="s">
        <v>24</v>
      </c>
      <c r="B67" s="23">
        <f>PRODUCT(SEMANAL!$D10,B$61)/1000+PRODUCT(SEMANAL!$B10,B$62)/1000</f>
        <v>8.4</v>
      </c>
      <c r="C67" s="23">
        <f>PRODUCT(SEMANAL!$D10,C$61)/1000+PRODUCT(SEMANAL!$B10,C$62)/1000</f>
        <v>14</v>
      </c>
      <c r="D67" s="23">
        <f>PRODUCT(SEMANAL!$D10,D$61)/1000+PRODUCT(SEMANAL!$B10,D$62)/1000</f>
        <v>0</v>
      </c>
      <c r="E67" s="23">
        <f>PRODUCT(SEMANAL!$D10,E$61)/1000+PRODUCT(SEMANAL!$B10,E$62)/1000</f>
        <v>12.46</v>
      </c>
      <c r="F67" s="23">
        <f>PRODUCT(SEMANAL!$D10,F$61)/1000+PRODUCT(SEMANAL!$B10,F$62)/1000</f>
        <v>0</v>
      </c>
      <c r="G67" s="23">
        <f>PRODUCT(SEMANAL!$D10,G$61)/1000+PRODUCT(SEMANAL!$B10,G$62)/1000</f>
        <v>0</v>
      </c>
      <c r="H67" s="23">
        <f>PRODUCT(SEMANAL!$D10,H$61)/1000+PRODUCT(SEMANAL!$B10,H$62)/1000</f>
        <v>20.86</v>
      </c>
      <c r="I67" s="23">
        <f>PRODUCT(SEMANAL!$D10,I$61)/1000+PRODUCT(SEMANAL!$B10,I$62)/1000</f>
        <v>0</v>
      </c>
      <c r="J67" s="23">
        <f>PRODUCT(SEMANAL!$D10,J$61)/1000+PRODUCT(SEMANAL!$B10,J$62)/1000</f>
        <v>0</v>
      </c>
      <c r="K67" s="23">
        <f>PRODUCT(SEMANAL!$D10,K$61)/1000+PRODUCT(SEMANAL!$B10,K$62)/1000</f>
        <v>13.3</v>
      </c>
      <c r="L67" s="23">
        <f>PRODUCT(SEMANAL!$D10,L$61)/1000+PRODUCT(SEMANAL!$B10,L$62)/1000</f>
        <v>0</v>
      </c>
      <c r="M67" s="23">
        <f>PRODUCT(SEMANAL!$D10,M$61)/1000+PRODUCT(SEMANAL!$B10,M$62)/1000</f>
        <v>0</v>
      </c>
      <c r="N67" s="23">
        <f>PRODUCT(SEMANAL!$D10,N$61)/1000+PRODUCT(SEMANAL!$B10,N$62)/1000</f>
        <v>9.8000000000000007</v>
      </c>
      <c r="O67" s="24">
        <f>SUM('OC FRUT y VERD AZUL 2'!B63:N63)</f>
        <v>51</v>
      </c>
      <c r="P67" s="18">
        <v>1350</v>
      </c>
      <c r="Q67" s="18">
        <f t="shared" si="2"/>
        <v>68850</v>
      </c>
      <c r="R67" s="20"/>
      <c r="S67" s="20"/>
      <c r="T67" s="20"/>
      <c r="U67" s="20"/>
      <c r="V67" s="21"/>
      <c r="W67" s="1"/>
      <c r="X67" s="1"/>
      <c r="Y67" s="1"/>
      <c r="Z67" s="1"/>
      <c r="AA67" s="1"/>
      <c r="AB67" s="1"/>
    </row>
    <row r="68" spans="1:28" ht="14.25" customHeight="1">
      <c r="A68" s="22" t="s">
        <v>25</v>
      </c>
      <c r="B68" s="23">
        <f>PRODUCT(SEMANAL!$D11,B$61)/1000+PRODUCT(SEMANAL!$B11,B$62)/1000</f>
        <v>3</v>
      </c>
      <c r="C68" s="23">
        <f>PRODUCT(SEMANAL!$D11,C$61)/1000+PRODUCT(SEMANAL!$B11,C$62)/1000</f>
        <v>5</v>
      </c>
      <c r="D68" s="23">
        <f>PRODUCT(SEMANAL!$D11,D$61)/1000+PRODUCT(SEMANAL!$B11,D$62)/1000</f>
        <v>0</v>
      </c>
      <c r="E68" s="23">
        <f>PRODUCT(SEMANAL!$D11,E$61)/1000+PRODUCT(SEMANAL!$B11,E$62)/1000</f>
        <v>4.45</v>
      </c>
      <c r="F68" s="23">
        <f>PRODUCT(SEMANAL!$D11,F$61)/1000+PRODUCT(SEMANAL!$B11,F$62)/1000</f>
        <v>0</v>
      </c>
      <c r="G68" s="23">
        <f>PRODUCT(SEMANAL!$D11,G$61)/1000+PRODUCT(SEMANAL!$B11,G$62)/1000</f>
        <v>0</v>
      </c>
      <c r="H68" s="23">
        <f>PRODUCT(SEMANAL!$D11,H$61)/1000+PRODUCT(SEMANAL!$B11,H$62)/1000</f>
        <v>7.45</v>
      </c>
      <c r="I68" s="23">
        <f>PRODUCT(SEMANAL!$D11,I$61)/1000+PRODUCT(SEMANAL!$B11,I$62)/1000</f>
        <v>0</v>
      </c>
      <c r="J68" s="23">
        <f>PRODUCT(SEMANAL!$D11,J$61)/1000+PRODUCT(SEMANAL!$B11,J$62)/1000</f>
        <v>0</v>
      </c>
      <c r="K68" s="23">
        <f>PRODUCT(SEMANAL!$D11,K$61)/1000+PRODUCT(SEMANAL!$B11,K$62)/1000</f>
        <v>4.75</v>
      </c>
      <c r="L68" s="23">
        <f>PRODUCT(SEMANAL!$D11,L$61)/1000+PRODUCT(SEMANAL!$B11,L$62)/1000</f>
        <v>0</v>
      </c>
      <c r="M68" s="23">
        <f>PRODUCT(SEMANAL!$D11,M$61)/1000+PRODUCT(SEMANAL!$B11,M$62)/1000</f>
        <v>0</v>
      </c>
      <c r="N68" s="23">
        <f>PRODUCT(SEMANAL!$D11,N$61)/1000+PRODUCT(SEMANAL!$B11,N$62)/1000</f>
        <v>3.5</v>
      </c>
      <c r="O68" s="24">
        <f>SUM('OC FRUT y VERD AZUL 2'!B64:N64)</f>
        <v>17</v>
      </c>
      <c r="P68" s="18">
        <v>1950</v>
      </c>
      <c r="Q68" s="18">
        <f t="shared" si="2"/>
        <v>33150</v>
      </c>
      <c r="R68" s="20"/>
      <c r="S68" s="20"/>
      <c r="T68" s="20"/>
      <c r="U68" s="20"/>
      <c r="V68" s="21"/>
      <c r="W68" s="1"/>
      <c r="X68" s="1"/>
      <c r="Y68" s="1"/>
      <c r="Z68" s="1"/>
      <c r="AA68" s="1"/>
      <c r="AB68" s="1"/>
    </row>
    <row r="69" spans="1:28" ht="14.25" customHeight="1">
      <c r="A69" s="22" t="s">
        <v>26</v>
      </c>
      <c r="B69" s="23">
        <f>PRODUCT(SEMANAL!$D12,B$61)/1000+PRODUCT(SEMANAL!$B12,B$62)/1000</f>
        <v>12</v>
      </c>
      <c r="C69" s="23">
        <f>PRODUCT(SEMANAL!$D12,C$61)/1000+PRODUCT(SEMANAL!$B12,C$62)/1000</f>
        <v>20</v>
      </c>
      <c r="D69" s="23">
        <f>PRODUCT(SEMANAL!$D12,D$61)/1000+PRODUCT(SEMANAL!$B12,D$62)/1000</f>
        <v>0</v>
      </c>
      <c r="E69" s="23">
        <f>PRODUCT(SEMANAL!$D12,E$61)/1000+PRODUCT(SEMANAL!$B12,E$62)/1000</f>
        <v>17.8</v>
      </c>
      <c r="F69" s="23">
        <f>PRODUCT(SEMANAL!$D12,F$61)/1000+PRODUCT(SEMANAL!$B12,F$62)/1000</f>
        <v>0</v>
      </c>
      <c r="G69" s="23">
        <f>PRODUCT(SEMANAL!$D12,G$61)/1000+PRODUCT(SEMANAL!$B12,G$62)/1000</f>
        <v>0</v>
      </c>
      <c r="H69" s="23">
        <f>PRODUCT(SEMANAL!$D12,H$61)/1000+PRODUCT(SEMANAL!$B12,H$62)/1000</f>
        <v>29.8</v>
      </c>
      <c r="I69" s="23">
        <f>PRODUCT(SEMANAL!$D12,I$61)/1000+PRODUCT(SEMANAL!$B12,I$62)/1000</f>
        <v>0</v>
      </c>
      <c r="J69" s="23">
        <f>PRODUCT(SEMANAL!$D12,J$61)/1000+PRODUCT(SEMANAL!$B12,J$62)/1000</f>
        <v>0</v>
      </c>
      <c r="K69" s="23">
        <f>PRODUCT(SEMANAL!$D12,K$61)/1000+PRODUCT(SEMANAL!$B12,K$62)/1000</f>
        <v>19</v>
      </c>
      <c r="L69" s="23">
        <f>PRODUCT(SEMANAL!$D12,L$61)/1000+PRODUCT(SEMANAL!$B12,L$62)/1000</f>
        <v>0</v>
      </c>
      <c r="M69" s="23">
        <f>PRODUCT(SEMANAL!$D12,M$61)/1000+PRODUCT(SEMANAL!$B12,M$62)/1000</f>
        <v>0</v>
      </c>
      <c r="N69" s="23">
        <f>PRODUCT(SEMANAL!$D12,N$61)/1000+PRODUCT(SEMANAL!$B12,N$62)/1000</f>
        <v>14</v>
      </c>
      <c r="O69" s="24">
        <f>SUM('OC FRUT y VERD AZUL 2'!B65:N65)</f>
        <v>113</v>
      </c>
      <c r="P69" s="18">
        <v>1090</v>
      </c>
      <c r="Q69" s="18">
        <f t="shared" si="2"/>
        <v>123170</v>
      </c>
      <c r="R69" s="20"/>
      <c r="S69" s="20"/>
      <c r="T69" s="20"/>
      <c r="U69" s="20"/>
      <c r="V69" s="21"/>
      <c r="W69" s="1"/>
      <c r="X69" s="1"/>
      <c r="Y69" s="1"/>
      <c r="Z69" s="1"/>
      <c r="AA69" s="1"/>
      <c r="AB69" s="1"/>
    </row>
    <row r="70" spans="1:28" ht="14.25" customHeight="1">
      <c r="A70" s="22" t="s">
        <v>27</v>
      </c>
      <c r="B70" s="23">
        <f>PRODUCT(SEMANAL!$D13,B$61)/1000+PRODUCT(SEMANAL!$B13,B$62)/1000</f>
        <v>4.5</v>
      </c>
      <c r="C70" s="23">
        <f>PRODUCT(SEMANAL!$D13,C$61)/1000+PRODUCT(SEMANAL!$B13,C$62)/1000</f>
        <v>7.5</v>
      </c>
      <c r="D70" s="23">
        <f>PRODUCT(SEMANAL!$D13,D$61)/1000+PRODUCT(SEMANAL!$B13,D$62)/1000</f>
        <v>0</v>
      </c>
      <c r="E70" s="23">
        <f>PRODUCT(SEMANAL!$D13,E$61)/1000+PRODUCT(SEMANAL!$B13,E$62)/1000</f>
        <v>6.6749999999999998</v>
      </c>
      <c r="F70" s="23">
        <f>PRODUCT(SEMANAL!$D13,F$61)/1000+PRODUCT(SEMANAL!$B13,F$62)/1000</f>
        <v>0</v>
      </c>
      <c r="G70" s="23">
        <f>PRODUCT(SEMANAL!$D13,G$61)/1000+PRODUCT(SEMANAL!$B13,G$62)/1000</f>
        <v>0</v>
      </c>
      <c r="H70" s="23">
        <f>PRODUCT(SEMANAL!$D13,H$61)/1000+PRODUCT(SEMANAL!$B13,H$62)/1000</f>
        <v>11.175000000000001</v>
      </c>
      <c r="I70" s="23">
        <f>PRODUCT(SEMANAL!$D13,I$61)/1000+PRODUCT(SEMANAL!$B13,I$62)/1000</f>
        <v>0</v>
      </c>
      <c r="J70" s="23">
        <f>PRODUCT(SEMANAL!$D13,J$61)/1000+PRODUCT(SEMANAL!$B13,J$62)/1000</f>
        <v>0</v>
      </c>
      <c r="K70" s="23">
        <f>PRODUCT(SEMANAL!$D13,K$61)/1000+PRODUCT(SEMANAL!$B13,K$62)/1000</f>
        <v>7.125</v>
      </c>
      <c r="L70" s="23">
        <f>PRODUCT(SEMANAL!$D13,L$61)/1000+PRODUCT(SEMANAL!$B13,L$62)/1000</f>
        <v>0</v>
      </c>
      <c r="M70" s="23">
        <f>PRODUCT(SEMANAL!$D13,M$61)/1000+PRODUCT(SEMANAL!$B13,M$62)/1000</f>
        <v>0</v>
      </c>
      <c r="N70" s="23">
        <f>PRODUCT(SEMANAL!$D13,N$61)/1000+PRODUCT(SEMANAL!$B13,N$62)/1000</f>
        <v>5.25</v>
      </c>
      <c r="O70" s="24">
        <f>SUM('OC FRUT y VERD AZUL 2'!B66:N66)</f>
        <v>30</v>
      </c>
      <c r="P70" s="18">
        <v>1090</v>
      </c>
      <c r="Q70" s="18">
        <f t="shared" si="2"/>
        <v>32700</v>
      </c>
      <c r="R70" s="20"/>
      <c r="S70" s="20"/>
      <c r="T70" s="20"/>
      <c r="U70" s="20"/>
      <c r="V70" s="21"/>
      <c r="W70" s="1"/>
      <c r="X70" s="1"/>
      <c r="Y70" s="1"/>
      <c r="Z70" s="1"/>
      <c r="AA70" s="1"/>
      <c r="AB70" s="1"/>
    </row>
    <row r="71" spans="1:28" ht="14.25" customHeight="1">
      <c r="A71" s="22" t="s">
        <v>28</v>
      </c>
      <c r="B71" s="23">
        <f>PRODUCT(SEMANAL!$D14,B$61)/1000+PRODUCT(SEMANAL!$B14,B$62)/1000</f>
        <v>3</v>
      </c>
      <c r="C71" s="23">
        <f>PRODUCT(SEMANAL!$D14,C$61)/1000+PRODUCT(SEMANAL!$B14,C$62)/1000</f>
        <v>5</v>
      </c>
      <c r="D71" s="23">
        <f>PRODUCT(SEMANAL!$D14,D$61)/1000+PRODUCT(SEMANAL!$B14,D$62)/1000</f>
        <v>0</v>
      </c>
      <c r="E71" s="23">
        <f>PRODUCT(SEMANAL!$D14,E$61)/1000+PRODUCT(SEMANAL!$B14,E$62)/1000</f>
        <v>4.45</v>
      </c>
      <c r="F71" s="23">
        <f>PRODUCT(SEMANAL!$D14,F$61)/1000+PRODUCT(SEMANAL!$B14,F$62)/1000</f>
        <v>0</v>
      </c>
      <c r="G71" s="23">
        <f>PRODUCT(SEMANAL!$D14,G$61)/1000+PRODUCT(SEMANAL!$B14,G$62)/1000</f>
        <v>0</v>
      </c>
      <c r="H71" s="23">
        <f>PRODUCT(SEMANAL!$D14,H$61)/1000+PRODUCT(SEMANAL!$B14,H$62)/1000</f>
        <v>7.45</v>
      </c>
      <c r="I71" s="23">
        <f>PRODUCT(SEMANAL!$D14,I$61)/1000+PRODUCT(SEMANAL!$B14,I$62)/1000</f>
        <v>0</v>
      </c>
      <c r="J71" s="23">
        <f>PRODUCT(SEMANAL!$D14,J$61)/1000+PRODUCT(SEMANAL!$B14,J$62)/1000</f>
        <v>0</v>
      </c>
      <c r="K71" s="23">
        <f>PRODUCT(SEMANAL!$D14,K$61)/1000+PRODUCT(SEMANAL!$B14,K$62)/1000</f>
        <v>4.75</v>
      </c>
      <c r="L71" s="23">
        <f>PRODUCT(SEMANAL!$D14,L$61)/1000+PRODUCT(SEMANAL!$B14,L$62)/1000</f>
        <v>0</v>
      </c>
      <c r="M71" s="23">
        <f>PRODUCT(SEMANAL!$D14,M$61)/1000+PRODUCT(SEMANAL!$B14,M$62)/1000</f>
        <v>0</v>
      </c>
      <c r="N71" s="23">
        <f>PRODUCT(SEMANAL!$D14,N$61)/1000+PRODUCT(SEMANAL!$B14,N$62)/1000</f>
        <v>3.5</v>
      </c>
      <c r="O71" s="24">
        <f>SUM('OC FRUT y VERD AZUL 2'!B67:N67)</f>
        <v>19</v>
      </c>
      <c r="P71" s="18">
        <v>1590</v>
      </c>
      <c r="Q71" s="18">
        <f t="shared" si="2"/>
        <v>30210</v>
      </c>
      <c r="R71" s="20"/>
      <c r="S71" s="20"/>
      <c r="T71" s="20"/>
      <c r="U71" s="20"/>
      <c r="V71" s="21"/>
      <c r="W71" s="1"/>
      <c r="X71" s="1"/>
      <c r="Y71" s="1"/>
      <c r="Z71" s="1"/>
      <c r="AA71" s="1"/>
      <c r="AB71" s="1"/>
    </row>
    <row r="72" spans="1:28" ht="14.25" customHeight="1">
      <c r="A72" s="22" t="s">
        <v>29</v>
      </c>
      <c r="B72" s="23">
        <f>PRODUCT(SEMANAL!$D15,B$61)/1000+PRODUCT(SEMANAL!$B15,B$62)/1000</f>
        <v>2.1</v>
      </c>
      <c r="C72" s="23">
        <f>PRODUCT(SEMANAL!$D15,C$61)/1000+PRODUCT(SEMANAL!$B15,C$62)/1000</f>
        <v>3.5</v>
      </c>
      <c r="D72" s="23">
        <f>PRODUCT(SEMANAL!$D15,D$61)/1000+PRODUCT(SEMANAL!$B15,D$62)/1000</f>
        <v>0</v>
      </c>
      <c r="E72" s="23">
        <f>PRODUCT(SEMANAL!$D15,E$61)/1000+PRODUCT(SEMANAL!$B15,E$62)/1000</f>
        <v>3.1150000000000002</v>
      </c>
      <c r="F72" s="23">
        <f>PRODUCT(SEMANAL!$D15,F$61)/1000+PRODUCT(SEMANAL!$B15,F$62)/1000</f>
        <v>0</v>
      </c>
      <c r="G72" s="23">
        <f>PRODUCT(SEMANAL!$D15,G$61)/1000+PRODUCT(SEMANAL!$B15,G$62)/1000</f>
        <v>0</v>
      </c>
      <c r="H72" s="23">
        <f>PRODUCT(SEMANAL!$D15,H$61)/1000+PRODUCT(SEMANAL!$B15,H$62)/1000</f>
        <v>5.2149999999999999</v>
      </c>
      <c r="I72" s="23">
        <f>PRODUCT(SEMANAL!$D15,I$61)/1000+PRODUCT(SEMANAL!$B15,I$62)/1000</f>
        <v>0</v>
      </c>
      <c r="J72" s="23">
        <f>PRODUCT(SEMANAL!$D15,J$61)/1000+PRODUCT(SEMANAL!$B15,J$62)/1000</f>
        <v>0</v>
      </c>
      <c r="K72" s="23">
        <f>PRODUCT(SEMANAL!$D15,K$61)/1000+PRODUCT(SEMANAL!$B15,K$62)/1000</f>
        <v>3.3250000000000002</v>
      </c>
      <c r="L72" s="23">
        <f>PRODUCT(SEMANAL!$D15,L$61)/1000+PRODUCT(SEMANAL!$B15,L$62)/1000</f>
        <v>0</v>
      </c>
      <c r="M72" s="23">
        <f>PRODUCT(SEMANAL!$D15,M$61)/1000+PRODUCT(SEMANAL!$B15,M$62)/1000</f>
        <v>0</v>
      </c>
      <c r="N72" s="23">
        <f>PRODUCT(SEMANAL!$D15,N$61)/1000+PRODUCT(SEMANAL!$B15,N$62)/1000</f>
        <v>2.4500000000000002</v>
      </c>
      <c r="O72" s="24">
        <f>SUM('OC FRUT y VERD AZUL 2'!B68:N68)</f>
        <v>20</v>
      </c>
      <c r="P72" s="18">
        <v>1890</v>
      </c>
      <c r="Q72" s="18">
        <f t="shared" si="2"/>
        <v>37800</v>
      </c>
      <c r="R72" s="20"/>
      <c r="S72" s="20"/>
      <c r="T72" s="20"/>
      <c r="U72" s="20"/>
      <c r="V72" s="21"/>
      <c r="W72" s="1"/>
      <c r="X72" s="1"/>
      <c r="Y72" s="1"/>
      <c r="Z72" s="1"/>
      <c r="AA72" s="1"/>
      <c r="AB72" s="1"/>
    </row>
    <row r="73" spans="1:28" ht="14.25" customHeight="1">
      <c r="A73" s="22" t="s">
        <v>30</v>
      </c>
      <c r="B73" s="23">
        <f>PRODUCT(SEMANAL!$D16,B$61)/1000+PRODUCT(SEMANAL!$B16,B$62)/1000</f>
        <v>1.2E-2</v>
      </c>
      <c r="C73" s="23">
        <f>PRODUCT(SEMANAL!$D16,C$61)/1000+PRODUCT(SEMANAL!$B16,C$62)/1000</f>
        <v>0.02</v>
      </c>
      <c r="D73" s="23">
        <f>PRODUCT(SEMANAL!$D16,D$61)/1000+PRODUCT(SEMANAL!$B16,D$62)/1000</f>
        <v>0</v>
      </c>
      <c r="E73" s="23">
        <f>PRODUCT(SEMANAL!$D16,E$61)/1000+PRODUCT(SEMANAL!$B16,E$62)/1000</f>
        <v>1.78E-2</v>
      </c>
      <c r="F73" s="23">
        <f>PRODUCT(SEMANAL!$D16,F$61)/1000+PRODUCT(SEMANAL!$B16,F$62)/1000</f>
        <v>0</v>
      </c>
      <c r="G73" s="23">
        <f>PRODUCT(SEMANAL!$D16,G$61)/1000+PRODUCT(SEMANAL!$B16,G$62)/1000</f>
        <v>0</v>
      </c>
      <c r="H73" s="23">
        <f>PRODUCT(SEMANAL!$D16,H$61)/1000+PRODUCT(SEMANAL!$B16,H$62)/1000</f>
        <v>2.98E-2</v>
      </c>
      <c r="I73" s="23">
        <f>PRODUCT(SEMANAL!$D16,I$61)/1000+PRODUCT(SEMANAL!$B16,I$62)/1000</f>
        <v>0</v>
      </c>
      <c r="J73" s="23">
        <f>PRODUCT(SEMANAL!$D16,J$61)/1000+PRODUCT(SEMANAL!$B16,J$62)/1000</f>
        <v>0</v>
      </c>
      <c r="K73" s="23">
        <f>PRODUCT(SEMANAL!$D16,K$61)/1000+PRODUCT(SEMANAL!$B16,K$62)/1000</f>
        <v>1.9E-2</v>
      </c>
      <c r="L73" s="23">
        <f>PRODUCT(SEMANAL!$D16,L$61)/1000+PRODUCT(SEMANAL!$B16,L$62)/1000</f>
        <v>0</v>
      </c>
      <c r="M73" s="23">
        <f>PRODUCT(SEMANAL!$D16,M$61)/1000+PRODUCT(SEMANAL!$B16,M$62)/1000</f>
        <v>0</v>
      </c>
      <c r="N73" s="23">
        <f>PRODUCT(SEMANAL!$D16,N$61)/1000+PRODUCT(SEMANAL!$B16,N$62)/1000</f>
        <v>1.4E-2</v>
      </c>
      <c r="O73" s="24">
        <f>SUM('OC FRUT y VERD AZUL 2'!B69:N69)</f>
        <v>6</v>
      </c>
      <c r="P73" s="18">
        <v>700</v>
      </c>
      <c r="Q73" s="18">
        <f t="shared" si="2"/>
        <v>4200</v>
      </c>
      <c r="R73" s="20"/>
      <c r="S73" s="20"/>
      <c r="T73" s="20"/>
      <c r="U73" s="20"/>
      <c r="V73" s="21"/>
      <c r="W73" s="1"/>
      <c r="X73" s="1"/>
      <c r="Y73" s="1"/>
      <c r="Z73" s="1"/>
      <c r="AA73" s="1"/>
      <c r="AB73" s="1"/>
    </row>
    <row r="74" spans="1:28" ht="14.25" customHeight="1">
      <c r="A74" s="22" t="s">
        <v>31</v>
      </c>
      <c r="B74" s="23">
        <f>PRODUCT(SEMANAL!$D17,B$61)/1000+PRODUCT(SEMANAL!$B17,B$62)/1000</f>
        <v>1.2E-2</v>
      </c>
      <c r="C74" s="23">
        <f>PRODUCT(SEMANAL!$D17,C$61)/1000+PRODUCT(SEMANAL!$B17,C$62)/1000</f>
        <v>0.02</v>
      </c>
      <c r="D74" s="23">
        <f>PRODUCT(SEMANAL!$D17,D$61)/1000+PRODUCT(SEMANAL!$B17,D$62)/1000</f>
        <v>0</v>
      </c>
      <c r="E74" s="23">
        <f>PRODUCT(SEMANAL!$D17,E$61)/1000+PRODUCT(SEMANAL!$B17,E$62)/1000</f>
        <v>1.78E-2</v>
      </c>
      <c r="F74" s="23">
        <f>PRODUCT(SEMANAL!$D17,F$61)/1000+PRODUCT(SEMANAL!$B17,F$62)/1000</f>
        <v>0</v>
      </c>
      <c r="G74" s="23">
        <f>PRODUCT(SEMANAL!$D17,G$61)/1000+PRODUCT(SEMANAL!$B17,G$62)/1000</f>
        <v>0</v>
      </c>
      <c r="H74" s="23">
        <f>PRODUCT(SEMANAL!$D17,H$61)/1000+PRODUCT(SEMANAL!$B17,H$62)/1000</f>
        <v>2.98E-2</v>
      </c>
      <c r="I74" s="23">
        <f>PRODUCT(SEMANAL!$D17,I$61)/1000+PRODUCT(SEMANAL!$B17,I$62)/1000</f>
        <v>0</v>
      </c>
      <c r="J74" s="23">
        <f>PRODUCT(SEMANAL!$D17,J$61)/1000+PRODUCT(SEMANAL!$B17,J$62)/1000</f>
        <v>0</v>
      </c>
      <c r="K74" s="23">
        <f>PRODUCT(SEMANAL!$D17,K$61)/1000+PRODUCT(SEMANAL!$B17,K$62)/1000</f>
        <v>1.9E-2</v>
      </c>
      <c r="L74" s="23">
        <f>PRODUCT(SEMANAL!$D17,L$61)/1000+PRODUCT(SEMANAL!$B17,L$62)/1000</f>
        <v>0</v>
      </c>
      <c r="M74" s="23">
        <f>PRODUCT(SEMANAL!$D17,M$61)/1000+PRODUCT(SEMANAL!$B17,M$62)/1000</f>
        <v>0</v>
      </c>
      <c r="N74" s="23">
        <f>PRODUCT(SEMANAL!$D17,N$61)/1000+PRODUCT(SEMANAL!$B17,N$62)/1000</f>
        <v>1.4E-2</v>
      </c>
      <c r="O74" s="24">
        <f>SUM('OC FRUT y VERD AZUL 2'!B70:N70)</f>
        <v>4</v>
      </c>
      <c r="P74" s="18">
        <v>1990</v>
      </c>
      <c r="Q74" s="18">
        <f t="shared" si="2"/>
        <v>7960</v>
      </c>
      <c r="R74" s="20"/>
      <c r="S74" s="20"/>
      <c r="T74" s="20"/>
      <c r="U74" s="20"/>
      <c r="V74" s="21"/>
      <c r="W74" s="1"/>
      <c r="X74" s="1"/>
      <c r="Y74" s="1"/>
      <c r="Z74" s="1"/>
      <c r="AA74" s="1"/>
      <c r="AB74" s="1"/>
    </row>
    <row r="75" spans="1:28" ht="14.25" customHeight="1">
      <c r="A75" s="22" t="s">
        <v>32</v>
      </c>
      <c r="B75" s="23">
        <f>PRODUCT(SEMANAL!$D18,B$61)/12+PRODUCT(SEMANAL!$B18,B$62)/12</f>
        <v>7.5</v>
      </c>
      <c r="C75" s="23">
        <f>PRODUCT(SEMANAL!$D18,C$61)/12+PRODUCT(SEMANAL!$B18,C$62)/12</f>
        <v>12.5</v>
      </c>
      <c r="D75" s="23">
        <f>PRODUCT(SEMANAL!$D18,D$61)/12+PRODUCT(SEMANAL!$B18,D$62)/12</f>
        <v>0</v>
      </c>
      <c r="E75" s="23">
        <f>PRODUCT(SEMANAL!$D18,E$61)/12+PRODUCT(SEMANAL!$B18,E$62)/12</f>
        <v>11.125</v>
      </c>
      <c r="F75" s="23">
        <f>PRODUCT(SEMANAL!$D18,F$61)/12+PRODUCT(SEMANAL!$B18,F$62)/12</f>
        <v>0</v>
      </c>
      <c r="G75" s="23">
        <f>PRODUCT(SEMANAL!$D18,G$61)/12+PRODUCT(SEMANAL!$B18,G$62)/12</f>
        <v>0</v>
      </c>
      <c r="H75" s="23">
        <f>PRODUCT(SEMANAL!$D18,H$61)/12+PRODUCT(SEMANAL!$B18,H$62)/12</f>
        <v>18.625</v>
      </c>
      <c r="I75" s="23">
        <f>PRODUCT(SEMANAL!$D18,I$61)/12+PRODUCT(SEMANAL!$B18,I$62)/12</f>
        <v>0</v>
      </c>
      <c r="J75" s="23">
        <f>PRODUCT(SEMANAL!$D18,J$61)/12+PRODUCT(SEMANAL!$B18,J$62)/12</f>
        <v>0</v>
      </c>
      <c r="K75" s="23">
        <f>PRODUCT(SEMANAL!$D18,K$61)/12+PRODUCT(SEMANAL!$B18,K$62)/12</f>
        <v>11.875</v>
      </c>
      <c r="L75" s="23">
        <f>PRODUCT(SEMANAL!$D18,L$61)/12+PRODUCT(SEMANAL!$B18,L$62)/12</f>
        <v>0</v>
      </c>
      <c r="M75" s="23">
        <f>PRODUCT(SEMANAL!$D18,M$61)/12+PRODUCT(SEMANAL!$B18,M$62)/12</f>
        <v>0</v>
      </c>
      <c r="N75" s="23">
        <f>PRODUCT(SEMANAL!$D18,N$61)/12+PRODUCT(SEMANAL!$B18,N$62)/12</f>
        <v>8.75</v>
      </c>
      <c r="O75" s="24">
        <f>SUM('OC FRUT y VERD AZUL 2'!B71:N71)</f>
        <v>54</v>
      </c>
      <c r="P75" s="18">
        <v>2100</v>
      </c>
      <c r="Q75" s="18">
        <f t="shared" si="2"/>
        <v>113400</v>
      </c>
      <c r="R75" s="20"/>
      <c r="S75" s="20"/>
      <c r="T75" s="20"/>
      <c r="U75" s="20"/>
      <c r="V75" s="21"/>
      <c r="W75" s="1"/>
      <c r="X75" s="1"/>
      <c r="Y75" s="1"/>
      <c r="Z75" s="1"/>
      <c r="AA75" s="1"/>
      <c r="AB75" s="1"/>
    </row>
    <row r="76" spans="1:28" ht="14.2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24"/>
      <c r="P76" s="18" t="s">
        <v>33</v>
      </c>
      <c r="Q76" s="18">
        <f>Q63+Q64+Q65+Q66+Q67+Q68+Q69+Q70+Q71+Q72+Q73+Q74+Q75</f>
        <v>2023720</v>
      </c>
      <c r="R76" s="20"/>
      <c r="S76" s="20"/>
      <c r="T76" s="20"/>
      <c r="U76" s="20"/>
      <c r="V76" s="21"/>
      <c r="W76" s="1"/>
      <c r="X76" s="1"/>
      <c r="Y76" s="1"/>
      <c r="Z76" s="1"/>
      <c r="AA76" s="1"/>
      <c r="AB76" s="1"/>
    </row>
    <row r="77" spans="1:28" ht="14.2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24"/>
      <c r="P77" s="18"/>
      <c r="Q77" s="18"/>
      <c r="R77" s="20"/>
      <c r="S77" s="20"/>
      <c r="T77" s="20"/>
      <c r="U77" s="20"/>
      <c r="V77" s="21"/>
      <c r="W77" s="1"/>
      <c r="X77" s="1"/>
      <c r="Y77" s="1"/>
      <c r="Z77" s="1"/>
      <c r="AA77" s="1"/>
      <c r="AB77" s="1"/>
    </row>
    <row r="78" spans="1:28" ht="14.2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24"/>
      <c r="P78" s="18"/>
      <c r="Q78" s="18"/>
      <c r="R78" s="20"/>
      <c r="S78" s="20"/>
      <c r="T78" s="20"/>
      <c r="U78" s="20"/>
      <c r="V78" s="21"/>
      <c r="W78" s="1"/>
      <c r="X78" s="1"/>
      <c r="Y78" s="1"/>
      <c r="Z78" s="1"/>
      <c r="AA78" s="1"/>
      <c r="AB78" s="1"/>
    </row>
    <row r="79" spans="1:28" ht="14.2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24"/>
      <c r="P79" s="18"/>
      <c r="Q79" s="18"/>
      <c r="R79" s="20"/>
      <c r="S79" s="20"/>
      <c r="T79" s="20"/>
      <c r="U79" s="20"/>
      <c r="V79" s="21"/>
      <c r="W79" s="1"/>
      <c r="X79" s="1"/>
      <c r="Y79" s="1"/>
      <c r="Z79" s="1"/>
      <c r="AA79" s="1"/>
      <c r="AB79" s="1"/>
    </row>
    <row r="80" spans="1:28" ht="14.2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24"/>
      <c r="P80" s="18"/>
      <c r="Q80" s="18"/>
      <c r="R80" s="20"/>
      <c r="S80" s="20"/>
      <c r="T80" s="20"/>
      <c r="U80" s="20"/>
      <c r="V80" s="21"/>
      <c r="W80" s="1"/>
      <c r="X80" s="1"/>
      <c r="Y80" s="1"/>
      <c r="Z80" s="1"/>
      <c r="AA80" s="1"/>
      <c r="AB80" s="1"/>
    </row>
    <row r="81" spans="1:28" ht="14.2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24"/>
      <c r="P81" s="18"/>
      <c r="Q81" s="18"/>
      <c r="R81" s="20"/>
      <c r="S81" s="20"/>
      <c r="T81" s="20"/>
      <c r="U81" s="20"/>
      <c r="V81" s="21"/>
      <c r="W81" s="1"/>
      <c r="X81" s="1"/>
      <c r="Y81" s="1"/>
      <c r="Z81" s="1"/>
      <c r="AA81" s="1"/>
      <c r="AB81" s="1"/>
    </row>
    <row r="82" spans="1:28" ht="14.25" customHeight="1">
      <c r="A82" s="18"/>
      <c r="B82" s="26" t="s">
        <v>63</v>
      </c>
      <c r="C82" s="26" t="s">
        <v>64</v>
      </c>
      <c r="D82" s="26" t="s">
        <v>65</v>
      </c>
      <c r="E82" s="27" t="s">
        <v>66</v>
      </c>
      <c r="F82" s="34" t="s">
        <v>67</v>
      </c>
      <c r="G82" s="26" t="s">
        <v>68</v>
      </c>
      <c r="H82" s="26">
        <v>502</v>
      </c>
      <c r="I82" s="26">
        <v>503</v>
      </c>
      <c r="J82" s="26">
        <v>504</v>
      </c>
      <c r="K82" s="26">
        <v>505</v>
      </c>
      <c r="L82" s="26" t="s">
        <v>69</v>
      </c>
      <c r="M82" s="26" t="s">
        <v>70</v>
      </c>
      <c r="N82" s="26" t="s">
        <v>71</v>
      </c>
      <c r="O82" s="24"/>
      <c r="P82" s="18"/>
      <c r="Q82" s="18"/>
      <c r="R82" s="35"/>
      <c r="S82" s="35"/>
      <c r="T82" s="35"/>
      <c r="U82" s="35"/>
      <c r="V82" s="1"/>
      <c r="W82" s="1"/>
      <c r="X82" s="1"/>
      <c r="Y82" s="1"/>
      <c r="Z82" s="1"/>
      <c r="AA82" s="1"/>
      <c r="AB82" s="1"/>
    </row>
    <row r="83" spans="1:28" ht="14.25" customHeight="1">
      <c r="A83" s="18"/>
      <c r="B83" s="36" t="s">
        <v>34</v>
      </c>
      <c r="C83" s="37"/>
      <c r="D83" s="37"/>
      <c r="E83" s="36" t="s">
        <v>72</v>
      </c>
      <c r="F83" s="38"/>
      <c r="G83" s="39"/>
      <c r="H83" s="37"/>
      <c r="I83" s="37"/>
      <c r="J83" s="37"/>
      <c r="K83" s="37"/>
      <c r="L83" s="37"/>
      <c r="M83" s="37"/>
      <c r="N83" s="37"/>
      <c r="O83" s="24"/>
      <c r="P83" s="18"/>
      <c r="Q83" s="18"/>
      <c r="R83" s="35"/>
      <c r="S83" s="35"/>
      <c r="T83" s="35"/>
      <c r="U83" s="35"/>
      <c r="V83" s="1"/>
      <c r="W83" s="1"/>
      <c r="X83" s="1"/>
      <c r="Y83" s="1"/>
      <c r="Z83" s="1"/>
      <c r="AA83" s="1"/>
      <c r="AB83" s="1"/>
    </row>
    <row r="84" spans="1:28" ht="14.25" customHeight="1">
      <c r="A84" s="18"/>
      <c r="B84" s="19">
        <v>68</v>
      </c>
      <c r="C84" s="40">
        <v>566</v>
      </c>
      <c r="D84" s="19">
        <v>850</v>
      </c>
      <c r="E84" s="19">
        <v>121</v>
      </c>
      <c r="F84" s="19">
        <v>100</v>
      </c>
      <c r="G84" s="19">
        <v>108</v>
      </c>
      <c r="H84" s="19">
        <v>124</v>
      </c>
      <c r="I84" s="19">
        <v>46</v>
      </c>
      <c r="J84" s="19">
        <v>50</v>
      </c>
      <c r="K84" s="19">
        <v>104</v>
      </c>
      <c r="L84" s="19">
        <v>60</v>
      </c>
      <c r="M84" s="19">
        <v>42</v>
      </c>
      <c r="N84" s="19">
        <v>103</v>
      </c>
      <c r="O84" s="24"/>
      <c r="P84" s="18"/>
      <c r="Q84" s="18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 customHeight="1">
      <c r="A85" s="18"/>
      <c r="B85" s="19">
        <v>68</v>
      </c>
      <c r="C85" s="41">
        <v>160</v>
      </c>
      <c r="D85" s="19">
        <v>0</v>
      </c>
      <c r="E85" s="19">
        <v>0</v>
      </c>
      <c r="F85" s="19">
        <v>100</v>
      </c>
      <c r="G85" s="19">
        <v>54</v>
      </c>
      <c r="H85" s="19">
        <v>62</v>
      </c>
      <c r="I85" s="19">
        <v>23</v>
      </c>
      <c r="J85" s="19">
        <v>25</v>
      </c>
      <c r="K85" s="19">
        <v>52</v>
      </c>
      <c r="L85" s="19">
        <v>30</v>
      </c>
      <c r="M85" s="19">
        <v>19</v>
      </c>
      <c r="N85" s="19">
        <v>103</v>
      </c>
      <c r="O85" s="24"/>
      <c r="P85" s="18"/>
      <c r="Q85" s="18"/>
      <c r="R85" s="42"/>
      <c r="S85" s="43"/>
      <c r="T85" s="42"/>
      <c r="U85" s="42"/>
      <c r="V85" s="25"/>
      <c r="W85" s="1"/>
      <c r="X85" s="1"/>
      <c r="Y85" s="1"/>
      <c r="Z85" s="1"/>
      <c r="AA85" s="1"/>
      <c r="AB85" s="1"/>
    </row>
    <row r="86" spans="1:28" ht="14.25" customHeight="1">
      <c r="A86" s="22" t="s">
        <v>20</v>
      </c>
      <c r="B86" s="23">
        <f>PRODUCT(SEMANAL!$D6,B$84)/1000+PRODUCT(SEMANAL!$B6,B$85)/1000</f>
        <v>16.66</v>
      </c>
      <c r="C86" s="23">
        <f>PRODUCT(SEMANAL!$D6,C$84)/1000+PRODUCT(SEMANAL!$B6,C$85)/1000</f>
        <v>89.95</v>
      </c>
      <c r="D86" s="23">
        <f>PRODUCT(SEMANAL!$D6,D$84)/1000+PRODUCT(SEMANAL!$B6,D$85)/1000</f>
        <v>106.25</v>
      </c>
      <c r="E86" s="23">
        <f>PRODUCT(SEMANAL!$D6,E$84)/1000+PRODUCT(SEMANAL!$B6,E$85)/1000</f>
        <v>15.125</v>
      </c>
      <c r="F86" s="23">
        <f>PRODUCT(SEMANAL!$D6,F$84)/1000+PRODUCT(SEMANAL!$B6,F$85)/1000</f>
        <v>24.5</v>
      </c>
      <c r="G86" s="23">
        <f>PRODUCT(SEMANAL!$D6,G$84)/1000+PRODUCT(SEMANAL!$B6,G$85)/1000</f>
        <v>19.98</v>
      </c>
      <c r="H86" s="23">
        <f>PRODUCT(SEMANAL!$D6,H$84)/1000+PRODUCT(SEMANAL!$B6,H$85)/1000</f>
        <v>22.94</v>
      </c>
      <c r="I86" s="23">
        <f>PRODUCT(SEMANAL!$D6,I$84)/1000+PRODUCT(SEMANAL!$B6,I$85)/1000</f>
        <v>8.51</v>
      </c>
      <c r="J86" s="23">
        <f>PRODUCT(SEMANAL!$D6,J$84)/1000+PRODUCT(SEMANAL!$B6,J$85)/1000</f>
        <v>9.25</v>
      </c>
      <c r="K86" s="23">
        <f>PRODUCT(SEMANAL!$D6,K$84)/1000+PRODUCT(SEMANAL!$B6,K$85)/1000</f>
        <v>19.240000000000002</v>
      </c>
      <c r="L86" s="23">
        <f>PRODUCT(SEMANAL!$D6,L$84)/1000+PRODUCT(SEMANAL!$B6,L$85)/1000</f>
        <v>11.1</v>
      </c>
      <c r="M86" s="23">
        <f>PRODUCT(SEMANAL!$D6,M$84)/1000+PRODUCT(SEMANAL!$B6,M$85)/1000</f>
        <v>7.5299999999999994</v>
      </c>
      <c r="N86" s="23">
        <f>PRODUCT(SEMANAL!$D6,N$84)/1000+PRODUCT(SEMANAL!$B6,N$85)/1000</f>
        <v>25.234999999999999</v>
      </c>
      <c r="O86" s="24">
        <f>SUM('OC FRUT y VERD AZUL 2'!B82:N82)</f>
        <v>418</v>
      </c>
      <c r="P86" s="18">
        <v>2390</v>
      </c>
      <c r="Q86" s="18">
        <f t="shared" ref="Q86:Q98" si="3">O86*P86</f>
        <v>999020</v>
      </c>
      <c r="R86" s="33"/>
      <c r="S86" s="33"/>
      <c r="T86" s="33"/>
      <c r="U86" s="33"/>
      <c r="V86" s="33"/>
      <c r="W86" s="1"/>
      <c r="X86" s="1"/>
      <c r="Y86" s="1"/>
      <c r="Z86" s="1"/>
      <c r="AA86" s="1"/>
      <c r="AB86" s="1"/>
    </row>
    <row r="87" spans="1:28" ht="14.25" customHeight="1">
      <c r="A87" s="22" t="s">
        <v>21</v>
      </c>
      <c r="B87" s="23">
        <f>PRODUCT(SEMANAL!$D7,B$84)/1000+PRODUCT(SEMANAL!$B7,B$85)/1000</f>
        <v>8.16</v>
      </c>
      <c r="C87" s="23">
        <f>PRODUCT(SEMANAL!$D7,C$84)/1000+PRODUCT(SEMANAL!$B7,C$85)/1000</f>
        <v>19.2</v>
      </c>
      <c r="D87" s="23">
        <f>PRODUCT(SEMANAL!$D7,D$84)/1000+PRODUCT(SEMANAL!$B7,D$85)/1000</f>
        <v>0</v>
      </c>
      <c r="E87" s="23">
        <f>PRODUCT(SEMANAL!$D7,E$84)/1000+PRODUCT(SEMANAL!$B7,E$85)/1000</f>
        <v>0</v>
      </c>
      <c r="F87" s="23">
        <f>PRODUCT(SEMANAL!$D7,F$84)/1000+PRODUCT(SEMANAL!$B7,F$85)/1000</f>
        <v>12</v>
      </c>
      <c r="G87" s="23">
        <f>PRODUCT(SEMANAL!$D7,G$84)/1000+PRODUCT(SEMANAL!$B7,G$85)/1000</f>
        <v>6.48</v>
      </c>
      <c r="H87" s="23">
        <f>PRODUCT(SEMANAL!$D7,H$84)/1000+PRODUCT(SEMANAL!$B7,H$85)/1000</f>
        <v>7.44</v>
      </c>
      <c r="I87" s="23">
        <f>PRODUCT(SEMANAL!$D7,I$84)/1000+PRODUCT(SEMANAL!$B7,I$85)/1000</f>
        <v>2.76</v>
      </c>
      <c r="J87" s="23">
        <f>PRODUCT(SEMANAL!$D7,J$84)/1000+PRODUCT(SEMANAL!$B7,J$85)/1000</f>
        <v>3</v>
      </c>
      <c r="K87" s="23">
        <f>PRODUCT(SEMANAL!$D7,K$84)/1000+PRODUCT(SEMANAL!$B7,K$85)/1000</f>
        <v>6.24</v>
      </c>
      <c r="L87" s="23">
        <f>PRODUCT(SEMANAL!$D7,L$84)/1000+PRODUCT(SEMANAL!$B7,L$85)/1000</f>
        <v>3.6</v>
      </c>
      <c r="M87" s="23">
        <f>PRODUCT(SEMANAL!$D7,M$84)/1000+PRODUCT(SEMANAL!$B7,M$85)/1000</f>
        <v>2.2799999999999998</v>
      </c>
      <c r="N87" s="23">
        <f>PRODUCT(SEMANAL!$D7,N$84)/1000+PRODUCT(SEMANAL!$B7,N$85)/1000</f>
        <v>12.36</v>
      </c>
      <c r="O87" s="24">
        <f>SUM('OC FRUT y VERD AZUL 2'!B83:N83)</f>
        <v>166</v>
      </c>
      <c r="P87" s="18">
        <v>2550</v>
      </c>
      <c r="Q87" s="18">
        <f t="shared" si="3"/>
        <v>423300</v>
      </c>
      <c r="R87" s="12"/>
      <c r="S87" s="12"/>
      <c r="T87" s="12"/>
      <c r="U87" s="4"/>
      <c r="V87" s="4"/>
      <c r="W87" s="1"/>
      <c r="X87" s="1"/>
      <c r="Y87" s="1"/>
      <c r="Z87" s="1"/>
      <c r="AA87" s="1"/>
      <c r="AB87" s="1"/>
    </row>
    <row r="88" spans="1:28" ht="14.25" customHeight="1">
      <c r="A88" s="22" t="s">
        <v>22</v>
      </c>
      <c r="B88" s="23">
        <f>PRODUCT(SEMANAL!$D8,B$84)/1000+PRODUCT(SEMANAL!$B8,B$85)/1000</f>
        <v>33.32</v>
      </c>
      <c r="C88" s="23">
        <f>PRODUCT(SEMANAL!$D8,C$84)/1000+PRODUCT(SEMANAL!$B8,C$85)/1000</f>
        <v>179.9</v>
      </c>
      <c r="D88" s="23">
        <f>PRODUCT(SEMANAL!$D8,D$84)/1000+PRODUCT(SEMANAL!$B8,D$85)/1000</f>
        <v>212.5</v>
      </c>
      <c r="E88" s="23">
        <f>PRODUCT(SEMANAL!$D8,E$84)/1000+PRODUCT(SEMANAL!$B8,E$85)/1000</f>
        <v>30.25</v>
      </c>
      <c r="F88" s="23">
        <f>PRODUCT(SEMANAL!$D8,F$84)/1000+PRODUCT(SEMANAL!$B8,F$85)/1000</f>
        <v>49</v>
      </c>
      <c r="G88" s="23">
        <f>PRODUCT(SEMANAL!$D8,G$84)/1000+PRODUCT(SEMANAL!$B8,G$85)/1000</f>
        <v>39.96</v>
      </c>
      <c r="H88" s="23">
        <f>PRODUCT(SEMANAL!$D8,H$84)/1000+PRODUCT(SEMANAL!$B8,H$85)/1000</f>
        <v>45.88</v>
      </c>
      <c r="I88" s="23">
        <f>PRODUCT(SEMANAL!$D8,I$84)/1000+PRODUCT(SEMANAL!$B8,I$85)/1000</f>
        <v>17.02</v>
      </c>
      <c r="J88" s="23">
        <f>PRODUCT(SEMANAL!$D8,J$84)/1000+PRODUCT(SEMANAL!$B8,J$85)/1000</f>
        <v>18.5</v>
      </c>
      <c r="K88" s="23">
        <f>PRODUCT(SEMANAL!$D8,K$84)/1000+PRODUCT(SEMANAL!$B8,K$85)/1000</f>
        <v>38.480000000000004</v>
      </c>
      <c r="L88" s="23">
        <f>PRODUCT(SEMANAL!$D8,L$84)/1000+PRODUCT(SEMANAL!$B8,L$85)/1000</f>
        <v>22.2</v>
      </c>
      <c r="M88" s="23">
        <f>PRODUCT(SEMANAL!$D8,M$84)/1000+PRODUCT(SEMANAL!$B8,M$85)/1000</f>
        <v>15.059999999999999</v>
      </c>
      <c r="N88" s="23">
        <f>PRODUCT(SEMANAL!$D8,N$84)/1000+PRODUCT(SEMANAL!$B8,N$85)/1000</f>
        <v>50.47</v>
      </c>
      <c r="O88" s="24">
        <f>SUM('OC FRUT y VERD AZUL 2'!B84:N84)</f>
        <v>288</v>
      </c>
      <c r="P88" s="18">
        <v>1710</v>
      </c>
      <c r="Q88" s="18">
        <f t="shared" si="3"/>
        <v>492480</v>
      </c>
      <c r="R88" s="4"/>
      <c r="S88" s="4"/>
      <c r="T88" s="4"/>
      <c r="U88" s="4"/>
      <c r="V88" s="4"/>
      <c r="W88" s="1"/>
      <c r="X88" s="1"/>
      <c r="Y88" s="1"/>
      <c r="Z88" s="1"/>
      <c r="AA88" s="1"/>
      <c r="AB88" s="1"/>
    </row>
    <row r="89" spans="1:28" ht="14.25" customHeight="1">
      <c r="A89" s="22" t="s">
        <v>23</v>
      </c>
      <c r="B89" s="23">
        <f>PRODUCT(SEMANAL!$D9,B$84)/1000+PRODUCT(SEMANAL!$B9,B$85)/1000</f>
        <v>0</v>
      </c>
      <c r="C89" s="23">
        <f>PRODUCT(SEMANAL!$D9,C$84)/1000+PRODUCT(SEMANAL!$B9,C$85)/1000</f>
        <v>0</v>
      </c>
      <c r="D89" s="23">
        <f>PRODUCT(SEMANAL!$D9,D$84)/1000+PRODUCT(SEMANAL!$B9,D$85)/1000</f>
        <v>0</v>
      </c>
      <c r="E89" s="23">
        <f>PRODUCT(SEMANAL!$D9,E$84)/1000+PRODUCT(SEMANAL!$B9,E$85)/1000</f>
        <v>0</v>
      </c>
      <c r="F89" s="23">
        <f>PRODUCT(SEMANAL!$D9,F$84)/1000+PRODUCT(SEMANAL!$B9,F$85)/1000</f>
        <v>0</v>
      </c>
      <c r="G89" s="23">
        <f>PRODUCT(SEMANAL!$D9,G$84)/1000+PRODUCT(SEMANAL!$B9,G$85)/1000</f>
        <v>0</v>
      </c>
      <c r="H89" s="23">
        <f>PRODUCT(SEMANAL!$D9,H$84)/1000+PRODUCT(SEMANAL!$B9,H$85)/1000</f>
        <v>0</v>
      </c>
      <c r="I89" s="23">
        <f>PRODUCT(SEMANAL!$D9,I$84)/1000+PRODUCT(SEMANAL!$B9,I$85)/1000</f>
        <v>0</v>
      </c>
      <c r="J89" s="23">
        <f>PRODUCT(SEMANAL!$D9,J$84)/1000+PRODUCT(SEMANAL!$B9,J$85)/1000</f>
        <v>0</v>
      </c>
      <c r="K89" s="23">
        <f>PRODUCT(SEMANAL!$D9,K$84)/1000+PRODUCT(SEMANAL!$B9,K$85)/1000</f>
        <v>0</v>
      </c>
      <c r="L89" s="23">
        <f>PRODUCT(SEMANAL!$D9,L$84)/1000+PRODUCT(SEMANAL!$B9,L$85)/1000</f>
        <v>0</v>
      </c>
      <c r="M89" s="23">
        <f>PRODUCT(SEMANAL!$D9,M$84)/1000+PRODUCT(SEMANAL!$B9,M$85)/1000</f>
        <v>0</v>
      </c>
      <c r="N89" s="23">
        <f>PRODUCT(SEMANAL!$D9,N$84)/1000+PRODUCT(SEMANAL!$B9,N$85)/1000</f>
        <v>0</v>
      </c>
      <c r="O89" s="24">
        <f>SUM('OC FRUT y VERD AZUL 2'!B85:N85)</f>
        <v>0</v>
      </c>
      <c r="P89" s="18">
        <v>2200</v>
      </c>
      <c r="Q89" s="18">
        <f t="shared" si="3"/>
        <v>0</v>
      </c>
      <c r="R89" s="20"/>
      <c r="S89" s="20"/>
      <c r="T89" s="20"/>
      <c r="U89" s="20"/>
      <c r="V89" s="35"/>
      <c r="W89" s="1"/>
      <c r="X89" s="1"/>
      <c r="Y89" s="1"/>
      <c r="Z89" s="1"/>
      <c r="AA89" s="1"/>
      <c r="AB89" s="1"/>
    </row>
    <row r="90" spans="1:28" ht="14.25" customHeight="1">
      <c r="A90" s="22" t="s">
        <v>24</v>
      </c>
      <c r="B90" s="23">
        <f>PRODUCT(SEMANAL!$D10,B$84)/1000+PRODUCT(SEMANAL!$B10,B$85)/1000</f>
        <v>9.52</v>
      </c>
      <c r="C90" s="23">
        <f>PRODUCT(SEMANAL!$D10,C$84)/1000+PRODUCT(SEMANAL!$B10,C$85)/1000</f>
        <v>22.4</v>
      </c>
      <c r="D90" s="23">
        <f>PRODUCT(SEMANAL!$D10,D$84)/1000+PRODUCT(SEMANAL!$B10,D$85)/1000</f>
        <v>0</v>
      </c>
      <c r="E90" s="23">
        <f>PRODUCT(SEMANAL!$D10,E$84)/1000+PRODUCT(SEMANAL!$B10,E$85)/1000</f>
        <v>0</v>
      </c>
      <c r="F90" s="23">
        <f>PRODUCT(SEMANAL!$D10,F$84)/1000+PRODUCT(SEMANAL!$B10,F$85)/1000</f>
        <v>14</v>
      </c>
      <c r="G90" s="23">
        <f>PRODUCT(SEMANAL!$D10,G$84)/1000+PRODUCT(SEMANAL!$B10,G$85)/1000</f>
        <v>7.56</v>
      </c>
      <c r="H90" s="23">
        <f>PRODUCT(SEMANAL!$D10,H$84)/1000+PRODUCT(SEMANAL!$B10,H$85)/1000</f>
        <v>8.68</v>
      </c>
      <c r="I90" s="23">
        <f>PRODUCT(SEMANAL!$D10,I$84)/1000+PRODUCT(SEMANAL!$B10,I$85)/1000</f>
        <v>3.22</v>
      </c>
      <c r="J90" s="23">
        <f>PRODUCT(SEMANAL!$D10,J$84)/1000+PRODUCT(SEMANAL!$B10,J$85)/1000</f>
        <v>3.5</v>
      </c>
      <c r="K90" s="23">
        <f>PRODUCT(SEMANAL!$D10,K$84)/1000+PRODUCT(SEMANAL!$B10,K$85)/1000</f>
        <v>7.28</v>
      </c>
      <c r="L90" s="23">
        <f>PRODUCT(SEMANAL!$D10,L$84)/1000+PRODUCT(SEMANAL!$B10,L$85)/1000</f>
        <v>4.2</v>
      </c>
      <c r="M90" s="23">
        <f>PRODUCT(SEMANAL!$D10,M$84)/1000+PRODUCT(SEMANAL!$B10,M$85)/1000</f>
        <v>2.66</v>
      </c>
      <c r="N90" s="23">
        <f>PRODUCT(SEMANAL!$D10,N$84)/1000+PRODUCT(SEMANAL!$B10,N$85)/1000</f>
        <v>14.42</v>
      </c>
      <c r="O90" s="24">
        <f>SUM('OC FRUT y VERD AZUL 2'!B86:N86)</f>
        <v>95</v>
      </c>
      <c r="P90" s="18">
        <v>1350</v>
      </c>
      <c r="Q90" s="18">
        <f t="shared" si="3"/>
        <v>128250</v>
      </c>
      <c r="R90" s="20"/>
      <c r="S90" s="20"/>
      <c r="T90" s="20"/>
      <c r="U90" s="20"/>
      <c r="V90" s="35"/>
      <c r="W90" s="1"/>
      <c r="X90" s="1"/>
      <c r="Y90" s="1"/>
      <c r="Z90" s="1"/>
      <c r="AA90" s="1"/>
      <c r="AB90" s="1"/>
    </row>
    <row r="91" spans="1:28" ht="14.25" customHeight="1">
      <c r="A91" s="22" t="s">
        <v>25</v>
      </c>
      <c r="B91" s="23">
        <f>PRODUCT(SEMANAL!$D11,B$84)/1000+PRODUCT(SEMANAL!$B11,B$85)/1000</f>
        <v>3.4</v>
      </c>
      <c r="C91" s="23">
        <f>PRODUCT(SEMANAL!$D11,C$84)/1000+PRODUCT(SEMANAL!$B11,C$85)/1000</f>
        <v>8</v>
      </c>
      <c r="D91" s="23">
        <f>PRODUCT(SEMANAL!$D11,D$84)/1000+PRODUCT(SEMANAL!$B11,D$85)/1000</f>
        <v>0</v>
      </c>
      <c r="E91" s="23">
        <f>PRODUCT(SEMANAL!$D11,E$84)/1000+PRODUCT(SEMANAL!$B11,E$85)/1000</f>
        <v>0</v>
      </c>
      <c r="F91" s="23">
        <f>PRODUCT(SEMANAL!$D11,F$84)/1000+PRODUCT(SEMANAL!$B11,F$85)/1000</f>
        <v>5</v>
      </c>
      <c r="G91" s="23">
        <f>PRODUCT(SEMANAL!$D11,G$84)/1000+PRODUCT(SEMANAL!$B11,G$85)/1000</f>
        <v>2.7</v>
      </c>
      <c r="H91" s="23">
        <f>PRODUCT(SEMANAL!$D11,H$84)/1000+PRODUCT(SEMANAL!$B11,H$85)/1000</f>
        <v>3.1</v>
      </c>
      <c r="I91" s="23">
        <f>PRODUCT(SEMANAL!$D11,I$84)/1000+PRODUCT(SEMANAL!$B11,I$85)/1000</f>
        <v>1.1499999999999999</v>
      </c>
      <c r="J91" s="23">
        <f>PRODUCT(SEMANAL!$D11,J$84)/1000+PRODUCT(SEMANAL!$B11,J$85)/1000</f>
        <v>1.25</v>
      </c>
      <c r="K91" s="23">
        <f>PRODUCT(SEMANAL!$D11,K$84)/1000+PRODUCT(SEMANAL!$B11,K$85)/1000</f>
        <v>2.6</v>
      </c>
      <c r="L91" s="23">
        <f>PRODUCT(SEMANAL!$D11,L$84)/1000+PRODUCT(SEMANAL!$B11,L$85)/1000</f>
        <v>1.5</v>
      </c>
      <c r="M91" s="23">
        <f>PRODUCT(SEMANAL!$D11,M$84)/1000+PRODUCT(SEMANAL!$B11,M$85)/1000</f>
        <v>0.95</v>
      </c>
      <c r="N91" s="23">
        <f>PRODUCT(SEMANAL!$D11,N$84)/1000+PRODUCT(SEMANAL!$B11,N$85)/1000</f>
        <v>5.15</v>
      </c>
      <c r="O91" s="24">
        <f>SUM('OC FRUT y VERD AZUL 2'!B87:N87)</f>
        <v>25</v>
      </c>
      <c r="P91" s="18">
        <v>1950</v>
      </c>
      <c r="Q91" s="18">
        <f t="shared" si="3"/>
        <v>48750</v>
      </c>
      <c r="R91" s="20"/>
      <c r="S91" s="20"/>
      <c r="T91" s="20"/>
      <c r="U91" s="20"/>
      <c r="V91" s="35"/>
      <c r="W91" s="1"/>
      <c r="X91" s="1"/>
      <c r="Y91" s="1"/>
      <c r="Z91" s="1"/>
      <c r="AA91" s="1"/>
      <c r="AB91" s="1"/>
    </row>
    <row r="92" spans="1:28" ht="14.25" customHeight="1">
      <c r="A92" s="22" t="s">
        <v>26</v>
      </c>
      <c r="B92" s="23">
        <f>PRODUCT(SEMANAL!$D12,B$84)/1000+PRODUCT(SEMANAL!B$12,B$85)/1000</f>
        <v>13.6</v>
      </c>
      <c r="C92" s="23">
        <f>PRODUCT(SEMANAL!$D12,C$84)/1000+PRODUCT(SEMANAL!B$12,C$85)/1000</f>
        <v>32</v>
      </c>
      <c r="D92" s="23">
        <f>PRODUCT(SEMANAL!$D12,D$84)/1000+PRODUCT(SEMANAL!B$12,D$85)/1000</f>
        <v>0</v>
      </c>
      <c r="E92" s="23">
        <f>PRODUCT(SEMANAL!$D12,E$84)/1000+PRODUCT(SEMANAL!B$12,E$85)/1000</f>
        <v>0</v>
      </c>
      <c r="F92" s="23">
        <f>PRODUCT(SEMANAL!$D12,F$84)/1000+PRODUCT(SEMANAL!B$12,F$85)/1000</f>
        <v>20</v>
      </c>
      <c r="G92" s="23">
        <f>PRODUCT(SEMANAL!$D12,G$84)/1000+PRODUCT(SEMANAL!B$12,G$85)/1000</f>
        <v>10.8</v>
      </c>
      <c r="H92" s="23">
        <f>PRODUCT(SEMANAL!$D12,H$84)/1000+PRODUCT(SEMANAL!B$12,H$85)/1000</f>
        <v>12.4</v>
      </c>
      <c r="I92" s="23">
        <f>PRODUCT(SEMANAL!$D12,I$84)/1000+PRODUCT(SEMANAL!B$12,I$85)/1000</f>
        <v>4.5999999999999996</v>
      </c>
      <c r="J92" s="23">
        <f>PRODUCT(SEMANAL!$D12,J$84)/1000+PRODUCT(SEMANAL!B$12,J$85)/1000</f>
        <v>5</v>
      </c>
      <c r="K92" s="23">
        <f>PRODUCT(SEMANAL!$D12,K$84)/1000+PRODUCT(SEMANAL!B$12,K$85)/1000</f>
        <v>10.4</v>
      </c>
      <c r="L92" s="23">
        <f>PRODUCT(SEMANAL!$D12,L$84)/1000+PRODUCT(SEMANAL!B$12,L$85)/1000</f>
        <v>6</v>
      </c>
      <c r="M92" s="23">
        <f>PRODUCT(SEMANAL!$D12,M$84)/1000+PRODUCT(SEMANAL!B$12,M$85)/1000</f>
        <v>3.8</v>
      </c>
      <c r="N92" s="23">
        <f>PRODUCT(SEMANAL!$D12,N$84)/1000+PRODUCT(SEMANAL!B$12,N$85)/1000</f>
        <v>20.6</v>
      </c>
      <c r="O92" s="24">
        <f>SUM('OC FRUT y VERD AZUL 2'!B88:N88)</f>
        <v>131</v>
      </c>
      <c r="P92" s="18">
        <v>1090</v>
      </c>
      <c r="Q92" s="18">
        <f t="shared" si="3"/>
        <v>142790</v>
      </c>
      <c r="R92" s="20"/>
      <c r="S92" s="20"/>
      <c r="T92" s="20"/>
      <c r="U92" s="20"/>
      <c r="V92" s="35"/>
      <c r="W92" s="1"/>
      <c r="X92" s="1"/>
      <c r="Y92" s="1"/>
      <c r="Z92" s="1"/>
      <c r="AA92" s="1"/>
      <c r="AB92" s="1"/>
    </row>
    <row r="93" spans="1:28" ht="14.25" customHeight="1">
      <c r="A93" s="22" t="s">
        <v>27</v>
      </c>
      <c r="B93" s="23">
        <f>PRODUCT(SEMANAL!$D13,B$84)/1000+PRODUCT(SEMANAL!$B13,B$85)/1000</f>
        <v>5.0999999999999996</v>
      </c>
      <c r="C93" s="23">
        <f>PRODUCT(SEMANAL!$D13,C$84)/1000+PRODUCT(SEMANAL!$B13,C$85)/1000</f>
        <v>12</v>
      </c>
      <c r="D93" s="23">
        <f>PRODUCT(SEMANAL!$D13,D$84)/1000+PRODUCT(SEMANAL!$B13,D$85)/1000</f>
        <v>0</v>
      </c>
      <c r="E93" s="23">
        <f>PRODUCT(SEMANAL!$D13,E$84)/1000+PRODUCT(SEMANAL!$B13,E$85)/1000</f>
        <v>0</v>
      </c>
      <c r="F93" s="23">
        <f>PRODUCT(SEMANAL!$D13,F$84)/1000+PRODUCT(SEMANAL!$B13,F$85)/1000</f>
        <v>7.5</v>
      </c>
      <c r="G93" s="23">
        <f>PRODUCT(SEMANAL!$D13,G$84)/1000+PRODUCT(SEMANAL!$B13,G$85)/1000</f>
        <v>4.05</v>
      </c>
      <c r="H93" s="23">
        <f>PRODUCT(SEMANAL!$D13,H$84)/1000+PRODUCT(SEMANAL!$B13,H$85)/1000</f>
        <v>4.6500000000000004</v>
      </c>
      <c r="I93" s="23">
        <f>PRODUCT(SEMANAL!$D13,I$84)/1000+PRODUCT(SEMANAL!$B13,I$85)/1000</f>
        <v>1.7250000000000001</v>
      </c>
      <c r="J93" s="23">
        <f>PRODUCT(SEMANAL!$D13,J$84)/1000+PRODUCT(SEMANAL!$B13,J$85)/1000</f>
        <v>1.875</v>
      </c>
      <c r="K93" s="23">
        <f>PRODUCT(SEMANAL!$D13,K$84)/1000+PRODUCT(SEMANAL!$B13,K$85)/1000</f>
        <v>3.9</v>
      </c>
      <c r="L93" s="23">
        <f>PRODUCT(SEMANAL!$D13,L$84)/1000+PRODUCT(SEMANAL!$B13,L$85)/1000</f>
        <v>2.25</v>
      </c>
      <c r="M93" s="23">
        <f>PRODUCT(SEMANAL!$D13,M$84)/1000+PRODUCT(SEMANAL!$B13,M$85)/1000</f>
        <v>1.425</v>
      </c>
      <c r="N93" s="23">
        <f>PRODUCT(SEMANAL!$D13,N$84)/1000+PRODUCT(SEMANAL!$B13,N$85)/1000</f>
        <v>7.7249999999999996</v>
      </c>
      <c r="O93" s="24">
        <f>SUM('OC FRUT y VERD AZUL 2'!B89:N89)</f>
        <v>32</v>
      </c>
      <c r="P93" s="18">
        <v>1090</v>
      </c>
      <c r="Q93" s="18">
        <f t="shared" si="3"/>
        <v>34880</v>
      </c>
      <c r="R93" s="20"/>
      <c r="S93" s="20"/>
      <c r="T93" s="20"/>
      <c r="U93" s="20"/>
      <c r="V93" s="35"/>
      <c r="W93" s="1"/>
      <c r="X93" s="1"/>
      <c r="Y93" s="1"/>
      <c r="Z93" s="1"/>
      <c r="AA93" s="1"/>
      <c r="AB93" s="1"/>
    </row>
    <row r="94" spans="1:28" ht="14.25" customHeight="1">
      <c r="A94" s="22" t="s">
        <v>28</v>
      </c>
      <c r="B94" s="23">
        <f>PRODUCT(SEMANAL!$D14,B$84)/1000+PRODUCT(SEMANAL!$B14,B$85)/1000</f>
        <v>3.4</v>
      </c>
      <c r="C94" s="23">
        <f>PRODUCT(SEMANAL!$D14,C$84)/1000+PRODUCT(SEMANAL!$B14,C$85)/1000</f>
        <v>8</v>
      </c>
      <c r="D94" s="23">
        <f>PRODUCT(SEMANAL!$D14,D$84)/1000+PRODUCT(SEMANAL!$B14,D$85)/1000</f>
        <v>0</v>
      </c>
      <c r="E94" s="23">
        <f>PRODUCT(SEMANAL!$D14,E$84)/1000+PRODUCT(SEMANAL!$B14,E$85)/1000</f>
        <v>0</v>
      </c>
      <c r="F94" s="23">
        <f>PRODUCT(SEMANAL!$D14,F$84)/1000+PRODUCT(SEMANAL!$B14,F$85)/1000</f>
        <v>5</v>
      </c>
      <c r="G94" s="23">
        <f>PRODUCT(SEMANAL!$D14,G$84)/1000+PRODUCT(SEMANAL!$B14,G$85)/1000</f>
        <v>2.7</v>
      </c>
      <c r="H94" s="23">
        <f>PRODUCT(SEMANAL!$D14,H$84)/1000+PRODUCT(SEMANAL!$B14,H$85)/1000</f>
        <v>3.1</v>
      </c>
      <c r="I94" s="23">
        <f>PRODUCT(SEMANAL!$D14,I$84)/1000+PRODUCT(SEMANAL!$B14,I$85)/1000</f>
        <v>1.1499999999999999</v>
      </c>
      <c r="J94" s="23">
        <f>PRODUCT(SEMANAL!$D14,J$84)/1000+PRODUCT(SEMANAL!$B14,J$85)/1000</f>
        <v>1.25</v>
      </c>
      <c r="K94" s="23">
        <f>PRODUCT(SEMANAL!$D14,K$84)/1000+PRODUCT(SEMANAL!$B14,K$85)/1000</f>
        <v>2.6</v>
      </c>
      <c r="L94" s="23">
        <f>PRODUCT(SEMANAL!$D14,L$84)/1000+PRODUCT(SEMANAL!$B14,L$85)/1000</f>
        <v>1.5</v>
      </c>
      <c r="M94" s="23">
        <f>PRODUCT(SEMANAL!$D14,M$84)/1000+PRODUCT(SEMANAL!$B14,M$85)/1000</f>
        <v>0.95</v>
      </c>
      <c r="N94" s="23">
        <f>PRODUCT(SEMANAL!$D14,N$84)/1000+PRODUCT(SEMANAL!$B14,N$85)/1000</f>
        <v>5.15</v>
      </c>
      <c r="O94" s="24">
        <f>SUM('OC FRUT y VERD AZUL 2'!B90:N90)</f>
        <v>27</v>
      </c>
      <c r="P94" s="18">
        <v>1590</v>
      </c>
      <c r="Q94" s="18">
        <f t="shared" si="3"/>
        <v>42930</v>
      </c>
      <c r="R94" s="20"/>
      <c r="S94" s="20"/>
      <c r="T94" s="20"/>
      <c r="U94" s="20"/>
      <c r="V94" s="35"/>
      <c r="W94" s="1"/>
      <c r="X94" s="1"/>
      <c r="Y94" s="1"/>
      <c r="Z94" s="1"/>
      <c r="AA94" s="1"/>
      <c r="AB94" s="1"/>
    </row>
    <row r="95" spans="1:28" ht="14.25" customHeight="1">
      <c r="A95" s="22" t="s">
        <v>29</v>
      </c>
      <c r="B95" s="23">
        <f>PRODUCT(SEMANAL!$D15,B$84)/1000+PRODUCT(SEMANAL!$B15,B$85)/1000</f>
        <v>2.38</v>
      </c>
      <c r="C95" s="23">
        <f>PRODUCT(SEMANAL!$D15,C$84)/1000+PRODUCT(SEMANAL!$B15,C$85)/1000</f>
        <v>5.6</v>
      </c>
      <c r="D95" s="23">
        <f>PRODUCT(SEMANAL!$D15,D$84)/1000+PRODUCT(SEMANAL!$B15,D$85)/1000</f>
        <v>0</v>
      </c>
      <c r="E95" s="23">
        <f>PRODUCT(SEMANAL!$D15,E$84)/1000+PRODUCT(SEMANAL!$B15,E$85)/1000</f>
        <v>0</v>
      </c>
      <c r="F95" s="23">
        <f>PRODUCT(SEMANAL!$D15,F$84)/1000+PRODUCT(SEMANAL!$B15,F$85)/1000</f>
        <v>3.5</v>
      </c>
      <c r="G95" s="23">
        <f>PRODUCT(SEMANAL!$D15,G$84)/1000+PRODUCT(SEMANAL!$B15,G$85)/1000</f>
        <v>1.89</v>
      </c>
      <c r="H95" s="23">
        <f>PRODUCT(SEMANAL!$D15,H$84)/1000+PRODUCT(SEMANAL!$B15,H$85)/1000</f>
        <v>2.17</v>
      </c>
      <c r="I95" s="23">
        <f>PRODUCT(SEMANAL!$D15,I$84)/1000+PRODUCT(SEMANAL!$B15,I$85)/1000</f>
        <v>0.80500000000000005</v>
      </c>
      <c r="J95" s="23">
        <f>PRODUCT(SEMANAL!$D15,J$84)/1000+PRODUCT(SEMANAL!$B15,J$85)/1000</f>
        <v>0.875</v>
      </c>
      <c r="K95" s="23">
        <f>PRODUCT(SEMANAL!$D15,K$84)/1000+PRODUCT(SEMANAL!$B15,K$85)/1000</f>
        <v>1.82</v>
      </c>
      <c r="L95" s="23">
        <f>PRODUCT(SEMANAL!$D15,L$84)/1000+PRODUCT(SEMANAL!$B15,L$85)/1000</f>
        <v>1.05</v>
      </c>
      <c r="M95" s="23">
        <f>PRODUCT(SEMANAL!$D15,M$84)/1000+PRODUCT(SEMANAL!$B15,M$85)/1000</f>
        <v>0.66500000000000004</v>
      </c>
      <c r="N95" s="23">
        <f>PRODUCT(SEMANAL!$D15,N$84)/1000+PRODUCT(SEMANAL!$B15,N$85)/1000</f>
        <v>3.605</v>
      </c>
      <c r="O95" s="24">
        <f>SUM('OC FRUT y VERD AZUL 2'!B91:N91)</f>
        <v>20</v>
      </c>
      <c r="P95" s="18">
        <v>1890</v>
      </c>
      <c r="Q95" s="18">
        <f t="shared" si="3"/>
        <v>37800</v>
      </c>
      <c r="R95" s="20"/>
      <c r="S95" s="20"/>
      <c r="T95" s="20"/>
      <c r="U95" s="20"/>
      <c r="V95" s="35"/>
      <c r="W95" s="1"/>
      <c r="X95" s="1"/>
      <c r="Y95" s="1"/>
      <c r="Z95" s="1"/>
      <c r="AA95" s="1"/>
      <c r="AB95" s="1"/>
    </row>
    <row r="96" spans="1:28" ht="14.25" customHeight="1">
      <c r="A96" s="22" t="s">
        <v>30</v>
      </c>
      <c r="B96" s="23">
        <f>PRODUCT(SEMANAL!$D16,B$84)/1000+PRODUCT(SEMANAL!$B16,B$85)/1000</f>
        <v>1.3600000000000001E-2</v>
      </c>
      <c r="C96" s="23">
        <f>PRODUCT(SEMANAL!$D16,C$84)/1000+PRODUCT(SEMANAL!$B16,C$85)/1000</f>
        <v>3.2000000000000001E-2</v>
      </c>
      <c r="D96" s="23">
        <f>PRODUCT(SEMANAL!$D16,D$84)/1000+PRODUCT(SEMANAL!$B16,D$85)/1000</f>
        <v>0</v>
      </c>
      <c r="E96" s="23">
        <f>PRODUCT(SEMANAL!$D16,E$84)/1000+PRODUCT(SEMANAL!$B16,E$85)/1000</f>
        <v>0</v>
      </c>
      <c r="F96" s="23">
        <f>PRODUCT(SEMANAL!$D16,F$84)/1000+PRODUCT(SEMANAL!$B16,F$85)/1000</f>
        <v>0.02</v>
      </c>
      <c r="G96" s="23">
        <f>PRODUCT(SEMANAL!$D16,G$84)/1000+PRODUCT(SEMANAL!$B16,G$85)/1000</f>
        <v>1.0800000000000001E-2</v>
      </c>
      <c r="H96" s="23">
        <f>PRODUCT(SEMANAL!$D16,H$84)/1000+PRODUCT(SEMANAL!$B16,H$85)/1000</f>
        <v>1.24E-2</v>
      </c>
      <c r="I96" s="23">
        <f>PRODUCT(SEMANAL!$D16,I$84)/1000+PRODUCT(SEMANAL!$B16,I$85)/1000</f>
        <v>4.6000000000000008E-3</v>
      </c>
      <c r="J96" s="23">
        <f>PRODUCT(SEMANAL!$D16,J$84)/1000+PRODUCT(SEMANAL!$B16,J$85)/1000</f>
        <v>5.0000000000000001E-3</v>
      </c>
      <c r="K96" s="23">
        <f>PRODUCT(SEMANAL!$D16,K$84)/1000+PRODUCT(SEMANAL!$B16,K$85)/1000</f>
        <v>1.04E-2</v>
      </c>
      <c r="L96" s="23">
        <f>PRODUCT(SEMANAL!$D16,L$84)/1000+PRODUCT(SEMANAL!$B16,L$85)/1000</f>
        <v>6.0000000000000001E-3</v>
      </c>
      <c r="M96" s="23">
        <f>PRODUCT(SEMANAL!$D16,M$84)/1000+PRODUCT(SEMANAL!$B16,M$85)/1000</f>
        <v>3.8000000000000004E-3</v>
      </c>
      <c r="N96" s="23">
        <f>PRODUCT(SEMANAL!$D16,N$84)/1000+PRODUCT(SEMANAL!$B16,N$85)/1000</f>
        <v>2.06E-2</v>
      </c>
      <c r="O96" s="24">
        <f>SUM('OC FRUT y VERD AZUL 2'!B92:N92)</f>
        <v>8</v>
      </c>
      <c r="P96" s="18">
        <v>700</v>
      </c>
      <c r="Q96" s="18">
        <f t="shared" si="3"/>
        <v>5600</v>
      </c>
      <c r="R96" s="20"/>
      <c r="S96" s="20"/>
      <c r="T96" s="20"/>
      <c r="U96" s="20"/>
      <c r="V96" s="35"/>
      <c r="W96" s="1"/>
      <c r="X96" s="1"/>
      <c r="Y96" s="1"/>
      <c r="Z96" s="1"/>
      <c r="AA96" s="1"/>
      <c r="AB96" s="1"/>
    </row>
    <row r="97" spans="1:28" ht="14.25" customHeight="1">
      <c r="A97" s="22" t="s">
        <v>31</v>
      </c>
      <c r="B97" s="23">
        <f>PRODUCT(SEMANAL!$D17,B$84)/1000+PRODUCT(SEMANAL!$B17,B$85)/1000</f>
        <v>1.3600000000000001E-2</v>
      </c>
      <c r="C97" s="23">
        <f>PRODUCT(SEMANAL!$D17,C$84)/1000+PRODUCT(SEMANAL!$B17,C$85)/1000</f>
        <v>3.2000000000000001E-2</v>
      </c>
      <c r="D97" s="23">
        <f>PRODUCT(SEMANAL!$D17,D$84)/1000+PRODUCT(SEMANAL!$B17,D$85)/1000</f>
        <v>0</v>
      </c>
      <c r="E97" s="23">
        <f>PRODUCT(SEMANAL!$D17,E$84)/1000+PRODUCT(SEMANAL!$B17,E$85)/1000</f>
        <v>0</v>
      </c>
      <c r="F97" s="23">
        <f>PRODUCT(SEMANAL!$D17,F$84)/1000+PRODUCT(SEMANAL!$B17,F$85)/1000</f>
        <v>0.02</v>
      </c>
      <c r="G97" s="23">
        <f>PRODUCT(SEMANAL!$D17,G$84)/1000+PRODUCT(SEMANAL!$B17,G$85)/1000</f>
        <v>1.0800000000000001E-2</v>
      </c>
      <c r="H97" s="23">
        <f>PRODUCT(SEMANAL!$D17,H$84)/1000+PRODUCT(SEMANAL!$B17,H$85)/1000</f>
        <v>1.24E-2</v>
      </c>
      <c r="I97" s="23">
        <f>PRODUCT(SEMANAL!$D17,I$84)/1000+PRODUCT(SEMANAL!$B17,I$85)/1000</f>
        <v>4.6000000000000008E-3</v>
      </c>
      <c r="J97" s="23">
        <f>PRODUCT(SEMANAL!$D17,J$84)/1000+PRODUCT(SEMANAL!$B17,J$85)/1000</f>
        <v>5.0000000000000001E-3</v>
      </c>
      <c r="K97" s="23">
        <f>PRODUCT(SEMANAL!$D17,K$84)/1000+PRODUCT(SEMANAL!$B17,K$85)/1000</f>
        <v>1.04E-2</v>
      </c>
      <c r="L97" s="23">
        <f>PRODUCT(SEMANAL!$D17,L$84)/1000+PRODUCT(SEMANAL!$B17,L$85)/1000</f>
        <v>6.0000000000000001E-3</v>
      </c>
      <c r="M97" s="23">
        <f>PRODUCT(SEMANAL!$D17,M$84)/1000+PRODUCT(SEMANAL!$B17,M$85)/1000</f>
        <v>3.8000000000000004E-3</v>
      </c>
      <c r="N97" s="23">
        <f>PRODUCT(SEMANAL!$D17,N$84)/1000+PRODUCT(SEMANAL!$B17,N$85)/1000</f>
        <v>2.06E-2</v>
      </c>
      <c r="O97" s="24">
        <f>SUM('OC FRUT y VERD AZUL 2'!B93:N93)</f>
        <v>7</v>
      </c>
      <c r="P97" s="18">
        <v>1990</v>
      </c>
      <c r="Q97" s="18">
        <f t="shared" si="3"/>
        <v>13930</v>
      </c>
      <c r="R97" s="20"/>
      <c r="S97" s="20"/>
      <c r="T97" s="20"/>
      <c r="U97" s="20"/>
      <c r="V97" s="35"/>
      <c r="W97" s="1"/>
      <c r="X97" s="1"/>
      <c r="Y97" s="1"/>
      <c r="Z97" s="1"/>
      <c r="AA97" s="1"/>
      <c r="AB97" s="1"/>
    </row>
    <row r="98" spans="1:28" ht="14.25" customHeight="1">
      <c r="A98" s="22" t="s">
        <v>32</v>
      </c>
      <c r="B98" s="23">
        <f>PRODUCT(SEMANAL!$D18,B$84)/12+PRODUCT(SEMANAL!$B18,B$85)/12</f>
        <v>8.5</v>
      </c>
      <c r="C98" s="23">
        <f>PRODUCT(SEMANAL!$D18,C$84)/12+PRODUCT(SEMANAL!$B18,C$85)/12</f>
        <v>20</v>
      </c>
      <c r="D98" s="23">
        <f>PRODUCT(SEMANAL!$D18,D$84)/12+PRODUCT(SEMANAL!$B18,D$85)/12</f>
        <v>0</v>
      </c>
      <c r="E98" s="23">
        <f>PRODUCT(SEMANAL!$D18,E$84)/12+PRODUCT(SEMANAL!$B18,E$85)/12</f>
        <v>0</v>
      </c>
      <c r="F98" s="23">
        <f>PRODUCT(SEMANAL!$D18,F$84)/12+PRODUCT(SEMANAL!$B18,F$85)/12</f>
        <v>12.5</v>
      </c>
      <c r="G98" s="23">
        <f>PRODUCT(SEMANAL!$D18,G$84)/12+PRODUCT(SEMANAL!$B18,G$85)/12</f>
        <v>6.75</v>
      </c>
      <c r="H98" s="23">
        <f>PRODUCT(SEMANAL!$D18,H$84)/12+PRODUCT(SEMANAL!$B18,H$85)/12</f>
        <v>7.75</v>
      </c>
      <c r="I98" s="23">
        <f>PRODUCT(SEMANAL!$D18,I$84)/12+PRODUCT(SEMANAL!$B18,I$85)/12</f>
        <v>2.875</v>
      </c>
      <c r="J98" s="23">
        <f>PRODUCT(SEMANAL!$D18,J$84)/12+PRODUCT(SEMANAL!$B18,J$85)/12</f>
        <v>3.125</v>
      </c>
      <c r="K98" s="23">
        <f>PRODUCT(SEMANAL!$D18,K$84)/12+PRODUCT(SEMANAL!$B18,K$85)/12</f>
        <v>6.5</v>
      </c>
      <c r="L98" s="23">
        <f>PRODUCT(SEMANAL!$D18,L$84)/12+PRODUCT(SEMANAL!$B18,L$85)/12</f>
        <v>3.75</v>
      </c>
      <c r="M98" s="23">
        <f>PRODUCT(SEMANAL!$D18,M$84)/12+PRODUCT(SEMANAL!$B18,M$85)/12</f>
        <v>2.375</v>
      </c>
      <c r="N98" s="23">
        <f>PRODUCT(SEMANAL!$D18,N$84)/12+PRODUCT(SEMANAL!$B18,N$85)/12</f>
        <v>12.875</v>
      </c>
      <c r="O98" s="24">
        <f>SUM('OC FRUT y VERD AZUL 2'!B94:N94)</f>
        <v>88</v>
      </c>
      <c r="P98" s="18">
        <v>2100</v>
      </c>
      <c r="Q98" s="18">
        <f t="shared" si="3"/>
        <v>184800</v>
      </c>
      <c r="R98" s="20"/>
      <c r="S98" s="20"/>
      <c r="T98" s="20"/>
      <c r="U98" s="20"/>
      <c r="V98" s="35"/>
      <c r="W98" s="1"/>
      <c r="X98" s="1"/>
      <c r="Y98" s="1"/>
      <c r="Z98" s="1"/>
      <c r="AA98" s="1"/>
      <c r="AB98" s="1"/>
    </row>
    <row r="99" spans="1:28" ht="14.2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 t="s">
        <v>33</v>
      </c>
      <c r="Q99" s="18">
        <f>Q86+Q87+Q88+Q89+Q90+Q91+Q92+Q93+Q94+Q95+Q96+Q97+Q98</f>
        <v>2554530</v>
      </c>
      <c r="R99" s="20"/>
      <c r="S99" s="20"/>
      <c r="T99" s="20"/>
      <c r="U99" s="20"/>
      <c r="V99" s="35"/>
      <c r="W99" s="1"/>
      <c r="X99" s="1"/>
      <c r="Y99" s="1"/>
      <c r="Z99" s="1"/>
      <c r="AA99" s="1"/>
      <c r="AB99" s="1"/>
    </row>
    <row r="100" spans="1:28" ht="14.2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20"/>
      <c r="S100" s="20"/>
      <c r="T100" s="20"/>
      <c r="U100" s="20"/>
      <c r="V100" s="35"/>
      <c r="W100" s="1"/>
      <c r="X100" s="1"/>
      <c r="Y100" s="1"/>
      <c r="Z100" s="1"/>
      <c r="AA100" s="1"/>
      <c r="AB100" s="1"/>
    </row>
    <row r="101" spans="1:28" ht="14.2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20"/>
      <c r="S101" s="20"/>
      <c r="T101" s="20"/>
      <c r="U101" s="20"/>
      <c r="V101" s="35"/>
      <c r="W101" s="1"/>
      <c r="X101" s="1"/>
      <c r="Y101" s="1"/>
      <c r="Z101" s="1"/>
      <c r="AA101" s="1"/>
      <c r="AB101" s="1"/>
    </row>
    <row r="102" spans="1:28" ht="14.2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20"/>
      <c r="S102" s="20"/>
      <c r="T102" s="20"/>
      <c r="U102" s="20"/>
      <c r="V102" s="35"/>
      <c r="W102" s="1"/>
      <c r="X102" s="1"/>
      <c r="Y102" s="1"/>
      <c r="Z102" s="1"/>
      <c r="AA102" s="1"/>
      <c r="AB102" s="1"/>
    </row>
    <row r="103" spans="1:28" ht="14.2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20"/>
      <c r="S103" s="20"/>
      <c r="T103" s="20"/>
      <c r="U103" s="20"/>
      <c r="V103" s="35"/>
      <c r="W103" s="1"/>
      <c r="X103" s="1"/>
      <c r="Y103" s="1"/>
      <c r="Z103" s="1"/>
      <c r="AA103" s="1"/>
      <c r="AB103" s="1"/>
    </row>
    <row r="104" spans="1:28" ht="14.2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20"/>
      <c r="S104" s="20"/>
      <c r="T104" s="20"/>
      <c r="U104" s="20"/>
      <c r="V104" s="35"/>
      <c r="W104" s="1"/>
      <c r="X104" s="1"/>
      <c r="Y104" s="1"/>
      <c r="Z104" s="1"/>
      <c r="AA104" s="1"/>
      <c r="AB104" s="1"/>
    </row>
    <row r="105" spans="1:28" ht="14.25" customHeight="1">
      <c r="A105" s="18"/>
      <c r="B105" s="26" t="s">
        <v>73</v>
      </c>
      <c r="C105" s="26" t="s">
        <v>74</v>
      </c>
      <c r="D105" s="26" t="s">
        <v>75</v>
      </c>
      <c r="E105" s="26" t="s">
        <v>76</v>
      </c>
      <c r="F105" s="26" t="s">
        <v>77</v>
      </c>
      <c r="G105" s="26" t="s">
        <v>78</v>
      </c>
      <c r="H105" s="26" t="s">
        <v>79</v>
      </c>
      <c r="I105" s="26" t="s">
        <v>80</v>
      </c>
      <c r="J105" s="26" t="s">
        <v>81</v>
      </c>
      <c r="K105" s="26" t="s">
        <v>82</v>
      </c>
      <c r="L105" s="26" t="s">
        <v>83</v>
      </c>
      <c r="M105" s="26" t="s">
        <v>84</v>
      </c>
      <c r="N105" s="27" t="s">
        <v>85</v>
      </c>
      <c r="O105" s="26" t="s">
        <v>86</v>
      </c>
      <c r="P105" s="26" t="s">
        <v>87</v>
      </c>
      <c r="Q105" s="44" t="s">
        <v>88</v>
      </c>
      <c r="R105" s="20"/>
      <c r="S105" s="20"/>
      <c r="T105" s="20"/>
      <c r="U105" s="20"/>
      <c r="V105" s="35"/>
      <c r="W105" s="1"/>
      <c r="X105" s="1"/>
      <c r="Y105" s="1"/>
      <c r="Z105" s="1"/>
      <c r="AA105" s="1"/>
      <c r="AB105" s="1"/>
    </row>
    <row r="106" spans="1:28" ht="14.25" customHeight="1">
      <c r="A106" s="18"/>
      <c r="B106" s="19">
        <v>160</v>
      </c>
      <c r="C106" s="19">
        <v>80</v>
      </c>
      <c r="D106" s="19">
        <v>156</v>
      </c>
      <c r="E106" s="19">
        <v>97</v>
      </c>
      <c r="F106" s="19">
        <v>2</v>
      </c>
      <c r="G106" s="19">
        <v>78</v>
      </c>
      <c r="H106" s="19">
        <v>69</v>
      </c>
      <c r="I106" s="19">
        <v>61</v>
      </c>
      <c r="J106" s="19">
        <v>131</v>
      </c>
      <c r="K106" s="19">
        <v>75</v>
      </c>
      <c r="L106" s="19">
        <v>66</v>
      </c>
      <c r="M106" s="19">
        <v>80</v>
      </c>
      <c r="N106" s="19">
        <v>71</v>
      </c>
      <c r="O106" s="19">
        <v>69</v>
      </c>
      <c r="P106" s="19">
        <v>42</v>
      </c>
      <c r="Q106" s="45">
        <v>70</v>
      </c>
      <c r="R106" s="20"/>
      <c r="S106" s="20"/>
      <c r="T106" s="20"/>
      <c r="U106" s="20"/>
      <c r="V106" s="35"/>
      <c r="W106" s="1"/>
      <c r="X106" s="1"/>
      <c r="Y106" s="1"/>
      <c r="Z106" s="1"/>
      <c r="AA106" s="1"/>
      <c r="AB106" s="1"/>
    </row>
    <row r="107" spans="1:28" ht="14.25" customHeight="1">
      <c r="A107" s="18"/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40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47">
        <v>0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25" customHeight="1">
      <c r="A108" s="22" t="s">
        <v>20</v>
      </c>
      <c r="B108" s="23">
        <f>PRODUCT(SEMANAL!$D6,B$106)/1000+PRODUCT(SEMANAL!$B6,B$107)/1000</f>
        <v>20</v>
      </c>
      <c r="C108" s="23">
        <f>PRODUCT(SEMANAL!$D6,C$106)/1000+PRODUCT(SEMANAL!$B6,C$107)/1000</f>
        <v>10</v>
      </c>
      <c r="D108" s="23">
        <f>PRODUCT(SEMANAL!$D6,D$106)/1000+PRODUCT(SEMANAL!$B6,D$107)/1000</f>
        <v>19.5</v>
      </c>
      <c r="E108" s="23">
        <f>PRODUCT(SEMANAL!$D6,E$106)/1000+PRODUCT(SEMANAL!$B6,E$107)/1000</f>
        <v>12.125</v>
      </c>
      <c r="F108" s="23">
        <f>PRODUCT(SEMANAL!$D6,F$106)/1000+PRODUCT(SEMANAL!$B6,F$107)/1000</f>
        <v>0.25</v>
      </c>
      <c r="G108" s="23">
        <f>PRODUCT(SEMANAL!$D6,G$106)/1000+PRODUCT(SEMANAL!$B6,G$107)/1000</f>
        <v>9.75</v>
      </c>
      <c r="H108" s="23">
        <f>PRODUCT(SEMANAL!$D6,H$106)/1000+PRODUCT(SEMANAL!$B6,H$107)/1000</f>
        <v>8.625</v>
      </c>
      <c r="I108" s="23">
        <f>PRODUCT(SEMANAL!$D6,I$106)/1000+PRODUCT(SEMANAL!$B6,I$107)/1000</f>
        <v>7.625</v>
      </c>
      <c r="J108" s="23">
        <f>PRODUCT(SEMANAL!$D6,J$106)/1000+PRODUCT(SEMANAL!$B6,J$107)/1000</f>
        <v>21.175000000000001</v>
      </c>
      <c r="K108" s="23">
        <f>PRODUCT(SEMANAL!$D6,K$106)/1000+PRODUCT(SEMANAL!$B6,K$107)/1000</f>
        <v>9.375</v>
      </c>
      <c r="L108" s="23">
        <f>PRODUCT(SEMANAL!$D6,L$106)/1000+PRODUCT(SEMANAL!$B6,L$107)/1000</f>
        <v>8.25</v>
      </c>
      <c r="M108" s="23">
        <f>PRODUCT(SEMANAL!$D6,M$106)/1000+PRODUCT(SEMANAL!$B6,M$107)/1000</f>
        <v>10</v>
      </c>
      <c r="N108" s="23">
        <f>PRODUCT(SEMANAL!$D6,N$106)/1000+PRODUCT(SEMANAL!$B6,N$107)/1000</f>
        <v>8.875</v>
      </c>
      <c r="O108" s="23">
        <f>PRODUCT(SEMANAL!$D6,O$106)/1000+PRODUCT(SEMANAL!$B6,O$107)/1000</f>
        <v>8.625</v>
      </c>
      <c r="P108" s="23">
        <f>PRODUCT(SEMANAL!$D6,P$106)/1000+PRODUCT(SEMANAL!$B6,P$107)/1000</f>
        <v>5.25</v>
      </c>
      <c r="Q108" s="23">
        <f>PRODUCT(SEMANAL!$D6,Q$106)/1000+PRODUCT(SEMANAL!$B6,Q$107)/1000</f>
        <v>8.75</v>
      </c>
      <c r="R108" s="21">
        <f>SUM('OC FRUT y VERD AZUL 2'!B104:Q104)</f>
        <v>136</v>
      </c>
      <c r="S108" s="46">
        <v>2390</v>
      </c>
      <c r="T108" s="46">
        <f t="shared" ref="T108:T120" si="4">R108*S108</f>
        <v>325040</v>
      </c>
      <c r="U108" s="1"/>
      <c r="V108" s="1"/>
      <c r="W108" s="1"/>
      <c r="X108" s="1"/>
      <c r="Y108" s="1"/>
      <c r="Z108" s="1"/>
      <c r="AA108" s="1"/>
      <c r="AB108" s="1"/>
    </row>
    <row r="109" spans="1:28" ht="14.25" customHeight="1">
      <c r="A109" s="22" t="s">
        <v>21</v>
      </c>
      <c r="B109" s="23">
        <f>PRODUCT(SEMANAL!$D7,B$106)/1000+PRODUCT(SEMANAL!$B7,B$107)/1000</f>
        <v>0</v>
      </c>
      <c r="C109" s="23">
        <f>PRODUCT(SEMANAL!$D7,C$106)/1000+PRODUCT(SEMANAL!$B7,C$107)/1000</f>
        <v>0</v>
      </c>
      <c r="D109" s="23">
        <f>PRODUCT(SEMANAL!$D7,D$106)/1000+PRODUCT(SEMANAL!$B7,D$107)/1000</f>
        <v>0</v>
      </c>
      <c r="E109" s="23">
        <f>PRODUCT(SEMANAL!$D7,E$106)/1000+PRODUCT(SEMANAL!$B7,E$107)/1000</f>
        <v>0</v>
      </c>
      <c r="F109" s="23">
        <f>PRODUCT(SEMANAL!$D7,F$106)/1000+PRODUCT(SEMANAL!$B7,F$107)/1000</f>
        <v>0</v>
      </c>
      <c r="G109" s="23">
        <f>PRODUCT(SEMANAL!$D7,G$106)/1000+PRODUCT(SEMANAL!$B7,G$107)/1000</f>
        <v>0</v>
      </c>
      <c r="H109" s="23">
        <f>PRODUCT(SEMANAL!$D7,H$106)/1000+PRODUCT(SEMANAL!$B7,H$107)/1000</f>
        <v>0</v>
      </c>
      <c r="I109" s="23">
        <f>PRODUCT(SEMANAL!$D7,I$106)/1000+PRODUCT(SEMANAL!$B7,I$107)/1000</f>
        <v>0</v>
      </c>
      <c r="J109" s="23">
        <f>PRODUCT(SEMANAL!$D7,J$106)/1000+PRODUCT(SEMANAL!$B7,J$107)/1000</f>
        <v>4.8</v>
      </c>
      <c r="K109" s="23">
        <f>PRODUCT(SEMANAL!$D7,K$106)/1000+PRODUCT(SEMANAL!$B7,K$107)/1000</f>
        <v>0</v>
      </c>
      <c r="L109" s="23">
        <f>PRODUCT(SEMANAL!$D7,L$106)/1000+PRODUCT(SEMANAL!$B7,L$107)/1000</f>
        <v>0</v>
      </c>
      <c r="M109" s="23">
        <f>PRODUCT(SEMANAL!$D7,M$106)/1000+PRODUCT(SEMANAL!$B7,M$107)/1000</f>
        <v>0</v>
      </c>
      <c r="N109" s="23">
        <f>PRODUCT(SEMANAL!$D7,N$106)/1000+PRODUCT(SEMANAL!$B7,N$107)/1000</f>
        <v>0</v>
      </c>
      <c r="O109" s="23">
        <f>PRODUCT(SEMANAL!$D7,O$106)/1000+PRODUCT(SEMANAL!$B7,O$107)/1000</f>
        <v>0</v>
      </c>
      <c r="P109" s="23">
        <f>PRODUCT(SEMANAL!$D7,P$106)/1000+PRODUCT(SEMANAL!$B7,P$107)/1000</f>
        <v>0</v>
      </c>
      <c r="Q109" s="23">
        <f>PRODUCT(SEMANAL!$D7,Q$106)/1000+PRODUCT(SEMANAL!$B7,Q$107)/1000</f>
        <v>0</v>
      </c>
      <c r="R109" s="21">
        <f>SUM('OC FRUT y VERD AZUL 2'!B105:Q105)</f>
        <v>5</v>
      </c>
      <c r="S109" s="47">
        <v>2550</v>
      </c>
      <c r="T109" s="47">
        <f t="shared" si="4"/>
        <v>12750</v>
      </c>
      <c r="U109" s="48"/>
      <c r="V109" s="1"/>
      <c r="W109" s="1"/>
      <c r="X109" s="1"/>
      <c r="Y109" s="1"/>
      <c r="Z109" s="1"/>
      <c r="AA109" s="1"/>
      <c r="AB109" s="1"/>
    </row>
    <row r="110" spans="1:28" ht="14.25" customHeight="1">
      <c r="A110" s="22" t="s">
        <v>22</v>
      </c>
      <c r="B110" s="23">
        <f>PRODUCT(SEMANAL!$D8,B$106)/1000+PRODUCT(SEMANAL!$B8,B$107)/1000</f>
        <v>40</v>
      </c>
      <c r="C110" s="23">
        <f>PRODUCT(SEMANAL!$D8,C$106)/1000+PRODUCT(SEMANAL!$B8,C$107)/1000</f>
        <v>20</v>
      </c>
      <c r="D110" s="23">
        <f>PRODUCT(SEMANAL!$D8,D$106)/1000+PRODUCT(SEMANAL!$B8,D$107)/1000</f>
        <v>39</v>
      </c>
      <c r="E110" s="23">
        <f>PRODUCT(SEMANAL!$D8,E$106)/1000+PRODUCT(SEMANAL!$B8,E$107)/1000</f>
        <v>24.25</v>
      </c>
      <c r="F110" s="23">
        <f>PRODUCT(SEMANAL!$D8,F$106)/1000+PRODUCT(SEMANAL!$B8,F$107)/1000</f>
        <v>0.5</v>
      </c>
      <c r="G110" s="23">
        <f>PRODUCT(SEMANAL!$D8,G$106)/1000+PRODUCT(SEMANAL!$B8,G$107)/1000</f>
        <v>19.5</v>
      </c>
      <c r="H110" s="23">
        <f>PRODUCT(SEMANAL!$D8,H$106)/1000+PRODUCT(SEMANAL!$B8,H$107)/1000</f>
        <v>17.25</v>
      </c>
      <c r="I110" s="23">
        <f>PRODUCT(SEMANAL!$D8,I$106)/1000+PRODUCT(SEMANAL!$B8,I$107)/1000</f>
        <v>15.25</v>
      </c>
      <c r="J110" s="23">
        <f>PRODUCT(SEMANAL!$D8,J$106)/1000+PRODUCT(SEMANAL!$B8,J$107)/1000</f>
        <v>42.35</v>
      </c>
      <c r="K110" s="23">
        <f>PRODUCT(SEMANAL!$D8,K$106)/1000+PRODUCT(SEMANAL!$B8,K$107)/1000</f>
        <v>18.75</v>
      </c>
      <c r="L110" s="23">
        <f>PRODUCT(SEMANAL!$D8,L$106)/1000+PRODUCT(SEMANAL!$B8,L$107)/1000</f>
        <v>16.5</v>
      </c>
      <c r="M110" s="23">
        <f>PRODUCT(SEMANAL!$D8,M$106)/1000+PRODUCT(SEMANAL!$B8,M$107)/1000</f>
        <v>20</v>
      </c>
      <c r="N110" s="23">
        <f>PRODUCT(SEMANAL!$D8,N$106)/1000+PRODUCT(SEMANAL!$B8,N$107)/1000</f>
        <v>17.75</v>
      </c>
      <c r="O110" s="23">
        <f>PRODUCT(SEMANAL!$D8,O$106)/1000+PRODUCT(SEMANAL!$B8,O$107)/1000</f>
        <v>17.25</v>
      </c>
      <c r="P110" s="23">
        <f>PRODUCT(SEMANAL!$D8,P$106)/1000+PRODUCT(SEMANAL!$B8,P$107)/1000</f>
        <v>10.5</v>
      </c>
      <c r="Q110" s="23">
        <f>PRODUCT(SEMANAL!$D8,Q$106)/1000+PRODUCT(SEMANAL!$B8,Q$107)/1000</f>
        <v>17.5</v>
      </c>
      <c r="R110" s="21">
        <f>SUM('OC FRUT y VERD AZUL 2'!B106:Q106)</f>
        <v>265</v>
      </c>
      <c r="S110" s="49">
        <v>1710</v>
      </c>
      <c r="T110" s="50">
        <f t="shared" si="4"/>
        <v>453150</v>
      </c>
      <c r="U110" s="4"/>
      <c r="V110" s="1"/>
      <c r="W110" s="1"/>
      <c r="X110" s="1"/>
      <c r="Y110" s="1"/>
      <c r="Z110" s="1"/>
      <c r="AA110" s="1"/>
      <c r="AB110" s="1"/>
    </row>
    <row r="111" spans="1:28" ht="14.25" customHeight="1">
      <c r="A111" s="22" t="s">
        <v>23</v>
      </c>
      <c r="B111" s="23">
        <f>PRODUCT(SEMANAL!$D9,B$106)/1000+PRODUCT(SEMANAL!$B9,B$107)/1000</f>
        <v>0</v>
      </c>
      <c r="C111" s="23">
        <f>PRODUCT(SEMANAL!$D9,C$106)/1000+PRODUCT(SEMANAL!$B9,C$107)/1000</f>
        <v>0</v>
      </c>
      <c r="D111" s="23">
        <f>PRODUCT(SEMANAL!$D9,D$106)/1000+PRODUCT(SEMANAL!$B9,D$107)/1000</f>
        <v>0</v>
      </c>
      <c r="E111" s="23">
        <f>PRODUCT(SEMANAL!$D9,E$106)/1000+PRODUCT(SEMANAL!$B9,E$107)/1000</f>
        <v>0</v>
      </c>
      <c r="F111" s="23">
        <f>PRODUCT(SEMANAL!$D9,F$106)/1000+PRODUCT(SEMANAL!$B9,F$107)/1000</f>
        <v>0</v>
      </c>
      <c r="G111" s="23">
        <f>PRODUCT(SEMANAL!$D9,G$106)/1000+PRODUCT(SEMANAL!$B9,G$107)/1000</f>
        <v>0</v>
      </c>
      <c r="H111" s="23">
        <f>PRODUCT(SEMANAL!$D9,H$106)/1000+PRODUCT(SEMANAL!$B9,H$107)/1000</f>
        <v>0</v>
      </c>
      <c r="I111" s="23">
        <f>PRODUCT(SEMANAL!$D9,I$106)/1000+PRODUCT(SEMANAL!$B9,I$107)/1000</f>
        <v>0</v>
      </c>
      <c r="J111" s="23">
        <f>PRODUCT(SEMANAL!$D9,J$106)/1000+PRODUCT(SEMANAL!$B9,J$107)/1000</f>
        <v>0</v>
      </c>
      <c r="K111" s="23">
        <f>PRODUCT(SEMANAL!$D9,K$106)/1000+PRODUCT(SEMANAL!$B9,K$107)/1000</f>
        <v>0</v>
      </c>
      <c r="L111" s="23">
        <f>PRODUCT(SEMANAL!$D9,L$106)/1000+PRODUCT(SEMANAL!$B9,L$107)/1000</f>
        <v>0</v>
      </c>
      <c r="M111" s="23">
        <f>PRODUCT(SEMANAL!$D9,M$106)/1000+PRODUCT(SEMANAL!$B9,M$107)/1000</f>
        <v>0</v>
      </c>
      <c r="N111" s="23">
        <f>PRODUCT(SEMANAL!$D9,N$106)/1000+PRODUCT(SEMANAL!$B9,N$107)/1000</f>
        <v>0</v>
      </c>
      <c r="O111" s="23">
        <f>PRODUCT(SEMANAL!$D9,O$106)/1000+PRODUCT(SEMANAL!$B9,O$107)/1000</f>
        <v>0</v>
      </c>
      <c r="P111" s="23">
        <f>PRODUCT(SEMANAL!$D9,P$106)/1000+PRODUCT(SEMANAL!$B9,P$107)/1000</f>
        <v>0</v>
      </c>
      <c r="Q111" s="23">
        <f>PRODUCT(SEMANAL!$D9,Q$106)/1000+PRODUCT(SEMANAL!$B9,Q$107)/1000</f>
        <v>0</v>
      </c>
      <c r="R111" s="21">
        <f>SUM('OC FRUT y VERD AZUL 2'!B107:Q107)</f>
        <v>0</v>
      </c>
      <c r="S111" s="50">
        <v>2200</v>
      </c>
      <c r="T111" s="50">
        <f t="shared" si="4"/>
        <v>0</v>
      </c>
      <c r="U111" s="4"/>
      <c r="V111" s="1"/>
      <c r="W111" s="1"/>
      <c r="X111" s="1"/>
      <c r="Y111" s="1"/>
      <c r="Z111" s="1"/>
      <c r="AA111" s="1"/>
      <c r="AB111" s="1"/>
    </row>
    <row r="112" spans="1:28" ht="14.25" customHeight="1">
      <c r="A112" s="22" t="s">
        <v>24</v>
      </c>
      <c r="B112" s="23">
        <f>PRODUCT(SEMANAL!$D10,B$106)/1000+PRODUCT(SEMANAL!$B10,B$107)/1000</f>
        <v>0</v>
      </c>
      <c r="C112" s="23">
        <f>PRODUCT(SEMANAL!$D10,C$106)/1000+PRODUCT(SEMANAL!$B10,C$107)/1000</f>
        <v>0</v>
      </c>
      <c r="D112" s="23">
        <f>PRODUCT(SEMANAL!$D10,D$106)/1000+PRODUCT(SEMANAL!$B10,D$107)/1000</f>
        <v>0</v>
      </c>
      <c r="E112" s="23">
        <f>PRODUCT(SEMANAL!$D10,E$106)/1000+PRODUCT(SEMANAL!$B10,E$107)/1000</f>
        <v>0</v>
      </c>
      <c r="F112" s="23">
        <f>PRODUCT(SEMANAL!$D10,F$106)/1000+PRODUCT(SEMANAL!$B10,F$107)/1000</f>
        <v>0</v>
      </c>
      <c r="G112" s="23">
        <f>PRODUCT(SEMANAL!$D10,G$106)/1000+PRODUCT(SEMANAL!$B10,G$107)/1000</f>
        <v>0</v>
      </c>
      <c r="H112" s="23">
        <f>PRODUCT(SEMANAL!$D10,H$106)/1000+PRODUCT(SEMANAL!$B10,H$107)/1000</f>
        <v>0</v>
      </c>
      <c r="I112" s="23">
        <f>PRODUCT(SEMANAL!$D10,I$106)/1000+PRODUCT(SEMANAL!$B10,I$107)/1000</f>
        <v>0</v>
      </c>
      <c r="J112" s="23">
        <f>PRODUCT(SEMANAL!$D10,J$106)/1000+PRODUCT(SEMANAL!$B10,J$107)/1000</f>
        <v>5.6</v>
      </c>
      <c r="K112" s="23">
        <f>PRODUCT(SEMANAL!$D10,K$106)/1000+PRODUCT(SEMANAL!$B10,K$107)/1000</f>
        <v>0</v>
      </c>
      <c r="L112" s="23">
        <f>PRODUCT(SEMANAL!$D10,L$106)/1000+PRODUCT(SEMANAL!$B10,L$107)/1000</f>
        <v>0</v>
      </c>
      <c r="M112" s="23">
        <f>PRODUCT(SEMANAL!$D10,M$106)/1000+PRODUCT(SEMANAL!$B10,M$107)/1000</f>
        <v>0</v>
      </c>
      <c r="N112" s="23">
        <f>PRODUCT(SEMANAL!$D10,N$106)/1000+PRODUCT(SEMANAL!$B10,N$107)/1000</f>
        <v>0</v>
      </c>
      <c r="O112" s="23">
        <f>PRODUCT(SEMANAL!$D10,O$106)/1000+PRODUCT(SEMANAL!$B10,O$107)/1000</f>
        <v>0</v>
      </c>
      <c r="P112" s="23">
        <f>PRODUCT(SEMANAL!$D10,P$106)/1000+PRODUCT(SEMANAL!$B10,P$107)/1000</f>
        <v>0</v>
      </c>
      <c r="Q112" s="23">
        <f>PRODUCT(SEMANAL!$D10,Q$106)/1000+PRODUCT(SEMANAL!$B10,Q$107)/1000</f>
        <v>0</v>
      </c>
      <c r="R112" s="21">
        <f>SUM('OC FRUT y VERD AZUL 2'!B108:Q108)</f>
        <v>0</v>
      </c>
      <c r="S112" s="51">
        <v>1350</v>
      </c>
      <c r="T112" s="51">
        <f t="shared" si="4"/>
        <v>0</v>
      </c>
      <c r="U112" s="20"/>
      <c r="V112" s="21"/>
      <c r="W112" s="1"/>
      <c r="X112" s="1"/>
      <c r="Y112" s="1"/>
      <c r="Z112" s="1"/>
      <c r="AA112" s="1"/>
      <c r="AB112" s="1"/>
    </row>
    <row r="113" spans="1:28" ht="14.25" customHeight="1">
      <c r="A113" s="22" t="s">
        <v>25</v>
      </c>
      <c r="B113" s="23">
        <f>PRODUCT(SEMANAL!$D11,B$106)/1000+PRODUCT(SEMANAL!$B11,B$107)/1000</f>
        <v>0</v>
      </c>
      <c r="C113" s="23">
        <f>PRODUCT(SEMANAL!$D11,C$106)/1000+PRODUCT(SEMANAL!$B11,C$107)/1000</f>
        <v>0</v>
      </c>
      <c r="D113" s="23">
        <f>PRODUCT(SEMANAL!$D11,D$106)/1000+PRODUCT(SEMANAL!$B11,D$107)/1000</f>
        <v>0</v>
      </c>
      <c r="E113" s="23">
        <f>PRODUCT(SEMANAL!$D11,E$106)/1000+PRODUCT(SEMANAL!$B11,E$107)/1000</f>
        <v>0</v>
      </c>
      <c r="F113" s="23">
        <f>PRODUCT(SEMANAL!$D11,F$106)/1000+PRODUCT(SEMANAL!$B11,F$107)/1000</f>
        <v>0</v>
      </c>
      <c r="G113" s="23">
        <f>PRODUCT(SEMANAL!$D11,G$106)/1000+PRODUCT(SEMANAL!$B11,G$107)/1000</f>
        <v>0</v>
      </c>
      <c r="H113" s="23">
        <f>PRODUCT(SEMANAL!$D11,H$106)/1000+PRODUCT(SEMANAL!$B11,H$107)/1000</f>
        <v>0</v>
      </c>
      <c r="I113" s="23">
        <f>PRODUCT(SEMANAL!$D11,I$106)/1000+PRODUCT(SEMANAL!$B11,I$107)/1000</f>
        <v>0</v>
      </c>
      <c r="J113" s="23">
        <f>PRODUCT(SEMANAL!$D11,J$106)/1000+PRODUCT(SEMANAL!$B11,J$107)/1000</f>
        <v>2</v>
      </c>
      <c r="K113" s="23">
        <f>PRODUCT(SEMANAL!$D11,K$106)/1000+PRODUCT(SEMANAL!$B11,K$107)/1000</f>
        <v>0</v>
      </c>
      <c r="L113" s="23">
        <f>PRODUCT(SEMANAL!$D11,L$106)/1000+PRODUCT(SEMANAL!$B11,L$107)/1000</f>
        <v>0</v>
      </c>
      <c r="M113" s="23">
        <f>PRODUCT(SEMANAL!$D11,M$106)/1000+PRODUCT(SEMANAL!$B11,M$107)/1000</f>
        <v>0</v>
      </c>
      <c r="N113" s="23">
        <f>PRODUCT(SEMANAL!$D11,N$106)/1000+PRODUCT(SEMANAL!$B11,N$107)/1000</f>
        <v>0</v>
      </c>
      <c r="O113" s="23">
        <f>PRODUCT(SEMANAL!$D11,O$106)/1000+PRODUCT(SEMANAL!$B11,O$107)/1000</f>
        <v>0</v>
      </c>
      <c r="P113" s="23">
        <f>PRODUCT(SEMANAL!$D11,P$106)/1000+PRODUCT(SEMANAL!$B11,P$107)/1000</f>
        <v>0</v>
      </c>
      <c r="Q113" s="23">
        <f>PRODUCT(SEMANAL!$D11,Q$106)/1000+PRODUCT(SEMANAL!$B11,Q$107)/1000</f>
        <v>0</v>
      </c>
      <c r="R113" s="21">
        <f>SUM('OC FRUT y VERD AZUL 2'!B109:Q109)</f>
        <v>0</v>
      </c>
      <c r="S113" s="51">
        <v>1950</v>
      </c>
      <c r="T113" s="51">
        <f t="shared" si="4"/>
        <v>0</v>
      </c>
      <c r="U113" s="20"/>
      <c r="V113" s="21"/>
      <c r="W113" s="1"/>
      <c r="X113" s="1"/>
      <c r="Y113" s="1"/>
      <c r="Z113" s="1"/>
      <c r="AA113" s="1"/>
      <c r="AB113" s="1"/>
    </row>
    <row r="114" spans="1:28" ht="14.25" customHeight="1">
      <c r="A114" s="22" t="s">
        <v>26</v>
      </c>
      <c r="B114" s="23">
        <f>PRODUCT(SEMANAL!$D12,B$106)/1000+PRODUCT(SEMANAL!$B12,B$107)/1000</f>
        <v>0</v>
      </c>
      <c r="C114" s="23">
        <f>PRODUCT(SEMANAL!$D12,C$106)/1000+PRODUCT(SEMANAL!$B12,C$107)/1000</f>
        <v>0</v>
      </c>
      <c r="D114" s="23">
        <f>PRODUCT(SEMANAL!$D12,D$106)/1000+PRODUCT(SEMANAL!$B12,D$107)/1000</f>
        <v>0</v>
      </c>
      <c r="E114" s="23">
        <f>PRODUCT(SEMANAL!$D12,E$106)/1000+PRODUCT(SEMANAL!$B12,E$107)/1000</f>
        <v>0</v>
      </c>
      <c r="F114" s="23">
        <f>PRODUCT(SEMANAL!$D12,F$106)/1000+PRODUCT(SEMANAL!$B12,F$107)/1000</f>
        <v>0</v>
      </c>
      <c r="G114" s="23">
        <f>PRODUCT(SEMANAL!$D12,G$106)/1000+PRODUCT(SEMANAL!$B12,G$107)/1000</f>
        <v>0</v>
      </c>
      <c r="H114" s="23">
        <f>PRODUCT(SEMANAL!$D12,H$106)/1000+PRODUCT(SEMANAL!$B12,H$107)/1000</f>
        <v>0</v>
      </c>
      <c r="I114" s="23">
        <f>PRODUCT(SEMANAL!$D12,I$106)/1000+PRODUCT(SEMANAL!$B12,I$107)/1000</f>
        <v>0</v>
      </c>
      <c r="J114" s="23">
        <f>PRODUCT(SEMANAL!$D12,J$106)/1000+PRODUCT(SEMANAL!$B12,J$107)/1000</f>
        <v>8</v>
      </c>
      <c r="K114" s="23">
        <f>PRODUCT(SEMANAL!$D12,K$106)/1000+PRODUCT(SEMANAL!$B12,K$107)/1000</f>
        <v>0</v>
      </c>
      <c r="L114" s="23">
        <f>PRODUCT(SEMANAL!$D12,L$106)/1000+PRODUCT(SEMANAL!$B12,L$107)/1000</f>
        <v>0</v>
      </c>
      <c r="M114" s="23">
        <f>PRODUCT(SEMANAL!$D12,M$106)/1000+PRODUCT(SEMANAL!$B12,M$107)/1000</f>
        <v>0</v>
      </c>
      <c r="N114" s="23">
        <f>PRODUCT(SEMANAL!$D12,N$106)/1000+PRODUCT(SEMANAL!$B12,N$107)/1000</f>
        <v>0</v>
      </c>
      <c r="O114" s="23">
        <f>PRODUCT(SEMANAL!$D12,O$106)/1000+PRODUCT(SEMANAL!$B12,O$107)/1000</f>
        <v>0</v>
      </c>
      <c r="P114" s="23">
        <f>PRODUCT(SEMANAL!$D12,P$106)/1000+PRODUCT(SEMANAL!$B12,P$107)/1000</f>
        <v>0</v>
      </c>
      <c r="Q114" s="23">
        <f>PRODUCT(SEMANAL!$D12,Q$106)/1000+PRODUCT(SEMANAL!$B12,Q$107)/1000</f>
        <v>0</v>
      </c>
      <c r="R114" s="21">
        <f>SUM('OC FRUT y VERD AZUL 2'!B110:Q110)</f>
        <v>8</v>
      </c>
      <c r="S114" s="51">
        <v>1090</v>
      </c>
      <c r="T114" s="51">
        <f t="shared" si="4"/>
        <v>8720</v>
      </c>
      <c r="U114" s="20"/>
      <c r="V114" s="21"/>
      <c r="W114" s="1"/>
      <c r="X114" s="1"/>
      <c r="Y114" s="1"/>
      <c r="Z114" s="1"/>
      <c r="AA114" s="1"/>
      <c r="AB114" s="1"/>
    </row>
    <row r="115" spans="1:28" ht="14.25" customHeight="1">
      <c r="A115" s="22" t="s">
        <v>27</v>
      </c>
      <c r="B115" s="23">
        <f>PRODUCT(SEMANAL!$D13,B$106)/1000+PRODUCT(SEMANAL!$B13,B$107)/1000</f>
        <v>0</v>
      </c>
      <c r="C115" s="23">
        <f>PRODUCT(SEMANAL!$D13,C$106)/1000+PRODUCT(SEMANAL!$B13,C$107)/1000</f>
        <v>0</v>
      </c>
      <c r="D115" s="23">
        <f>PRODUCT(SEMANAL!$D13,D$106)/1000+PRODUCT(SEMANAL!$B13,D$107)/1000</f>
        <v>0</v>
      </c>
      <c r="E115" s="23">
        <f>PRODUCT(SEMANAL!$D13,E$106)/1000+PRODUCT(SEMANAL!$B13,E$107)/1000</f>
        <v>0</v>
      </c>
      <c r="F115" s="23">
        <f>PRODUCT(SEMANAL!$D13,F$106)/1000+PRODUCT(SEMANAL!$B13,F$107)/1000</f>
        <v>0</v>
      </c>
      <c r="G115" s="23">
        <f>PRODUCT(SEMANAL!$D13,G$106)/1000+PRODUCT(SEMANAL!$B13,G$107)/1000</f>
        <v>0</v>
      </c>
      <c r="H115" s="23">
        <f>PRODUCT(SEMANAL!$D13,H$106)/1000+PRODUCT(SEMANAL!$B13,H$107)/1000</f>
        <v>0</v>
      </c>
      <c r="I115" s="23">
        <f>PRODUCT(SEMANAL!$D13,I$106)/1000+PRODUCT(SEMANAL!$B13,I$107)/1000</f>
        <v>0</v>
      </c>
      <c r="J115" s="23">
        <f>PRODUCT(SEMANAL!$D13,J$106)/1000+PRODUCT(SEMANAL!$B13,J$107)/1000</f>
        <v>3</v>
      </c>
      <c r="K115" s="23">
        <f>PRODUCT(SEMANAL!$D13,K$106)/1000+PRODUCT(SEMANAL!$B13,K$107)/1000</f>
        <v>0</v>
      </c>
      <c r="L115" s="23">
        <f>PRODUCT(SEMANAL!$D13,L$106)/1000+PRODUCT(SEMANAL!$B13,L$107)/1000</f>
        <v>0</v>
      </c>
      <c r="M115" s="23">
        <f>PRODUCT(SEMANAL!$D13,M$106)/1000+PRODUCT(SEMANAL!$B13,M$107)/1000</f>
        <v>0</v>
      </c>
      <c r="N115" s="23">
        <f>PRODUCT(SEMANAL!$D13,N$106)/1000+PRODUCT(SEMANAL!$B13,N$107)/1000</f>
        <v>0</v>
      </c>
      <c r="O115" s="23">
        <f>PRODUCT(SEMANAL!$D13,O$106)/1000+PRODUCT(SEMANAL!$B13,O$107)/1000</f>
        <v>0</v>
      </c>
      <c r="P115" s="23">
        <f>PRODUCT(SEMANAL!$D13,P$106)/1000+PRODUCT(SEMANAL!$B13,P$107)/1000</f>
        <v>0</v>
      </c>
      <c r="Q115" s="23">
        <f>PRODUCT(SEMANAL!$D13,Q$106)/1000+PRODUCT(SEMANAL!$B13,Q$107)/1000</f>
        <v>0</v>
      </c>
      <c r="R115" s="21">
        <f>SUM('OC FRUT y VERD AZUL 2'!B111:Q111)</f>
        <v>3</v>
      </c>
      <c r="S115" s="51">
        <v>1090</v>
      </c>
      <c r="T115" s="51">
        <f t="shared" si="4"/>
        <v>3270</v>
      </c>
      <c r="U115" s="20"/>
      <c r="V115" s="21"/>
      <c r="W115" s="1"/>
      <c r="X115" s="1"/>
      <c r="Y115" s="1"/>
      <c r="Z115" s="1"/>
      <c r="AA115" s="1"/>
      <c r="AB115" s="1"/>
    </row>
    <row r="116" spans="1:28" ht="14.25" customHeight="1">
      <c r="A116" s="22" t="s">
        <v>28</v>
      </c>
      <c r="B116" s="23">
        <f>PRODUCT(SEMANAL!$D14,B$106)/1000+PRODUCT(SEMANAL!$B14,B$107)/1000</f>
        <v>0</v>
      </c>
      <c r="C116" s="23">
        <f>PRODUCT(SEMANAL!$D14,C$106)/1000+PRODUCT(SEMANAL!$B14,C$107)/1000</f>
        <v>0</v>
      </c>
      <c r="D116" s="23">
        <f>PRODUCT(SEMANAL!$D14,D$106)/1000+PRODUCT(SEMANAL!$B14,D$107)/1000</f>
        <v>0</v>
      </c>
      <c r="E116" s="23">
        <f>PRODUCT(SEMANAL!$D14,E$106)/1000+PRODUCT(SEMANAL!$B14,E$107)/1000</f>
        <v>0</v>
      </c>
      <c r="F116" s="23">
        <f>PRODUCT(SEMANAL!$D14,F$106)/1000+PRODUCT(SEMANAL!$B14,F$107)/1000</f>
        <v>0</v>
      </c>
      <c r="G116" s="23">
        <f>PRODUCT(SEMANAL!$D14,G$106)/1000+PRODUCT(SEMANAL!$B14,G$107)/1000</f>
        <v>0</v>
      </c>
      <c r="H116" s="23">
        <f>PRODUCT(SEMANAL!$D14,H$106)/1000+PRODUCT(SEMANAL!$B14,H$107)/1000</f>
        <v>0</v>
      </c>
      <c r="I116" s="23">
        <f>PRODUCT(SEMANAL!$D14,I$106)/1000+PRODUCT(SEMANAL!$B14,I$107)/1000</f>
        <v>0</v>
      </c>
      <c r="J116" s="23">
        <f>PRODUCT(SEMANAL!$D14,J$106)/1000+PRODUCT(SEMANAL!$B14,J$107)/1000</f>
        <v>2</v>
      </c>
      <c r="K116" s="23">
        <f>PRODUCT(SEMANAL!$D14,K$106)/1000+PRODUCT(SEMANAL!$B14,K$107)/1000</f>
        <v>0</v>
      </c>
      <c r="L116" s="23">
        <f>PRODUCT(SEMANAL!$D14,L$106)/1000+PRODUCT(SEMANAL!$B14,L$107)/1000</f>
        <v>0</v>
      </c>
      <c r="M116" s="23">
        <f>PRODUCT(SEMANAL!$D14,M$106)/1000+PRODUCT(SEMANAL!$B14,M$107)/1000</f>
        <v>0</v>
      </c>
      <c r="N116" s="23">
        <f>PRODUCT(SEMANAL!$D14,N$106)/1000+PRODUCT(SEMANAL!$B14,N$107)/1000</f>
        <v>0</v>
      </c>
      <c r="O116" s="23">
        <f>PRODUCT(SEMANAL!$D14,O$106)/1000+PRODUCT(SEMANAL!$B14,O$107)/1000</f>
        <v>0</v>
      </c>
      <c r="P116" s="23">
        <f>PRODUCT(SEMANAL!$D14,P$106)/1000+PRODUCT(SEMANAL!$B14,P$107)/1000</f>
        <v>0</v>
      </c>
      <c r="Q116" s="23">
        <f>PRODUCT(SEMANAL!$D14,Q$106)/1000+PRODUCT(SEMANAL!$B14,Q$107)/1000</f>
        <v>0</v>
      </c>
      <c r="R116" s="21">
        <f>SUM('OC FRUT y VERD AZUL 2'!B112:Q112)</f>
        <v>0</v>
      </c>
      <c r="S116" s="51">
        <v>1590</v>
      </c>
      <c r="T116" s="51">
        <f t="shared" si="4"/>
        <v>0</v>
      </c>
      <c r="U116" s="20"/>
      <c r="V116" s="21"/>
      <c r="W116" s="1"/>
      <c r="X116" s="1"/>
      <c r="Y116" s="1"/>
      <c r="Z116" s="1"/>
      <c r="AA116" s="1"/>
      <c r="AB116" s="1"/>
    </row>
    <row r="117" spans="1:28" ht="14.25" customHeight="1">
      <c r="A117" s="22" t="s">
        <v>29</v>
      </c>
      <c r="B117" s="23">
        <f>PRODUCT(SEMANAL!$D15,B$106)/1000+PRODUCT(SEMANAL!$B15,B$107)/1000</f>
        <v>0</v>
      </c>
      <c r="C117" s="23">
        <f>PRODUCT(SEMANAL!$D15,C$106)/1000+PRODUCT(SEMANAL!$B15,C$107)/1000</f>
        <v>0</v>
      </c>
      <c r="D117" s="23">
        <f>PRODUCT(SEMANAL!$D15,D$106)/1000+PRODUCT(SEMANAL!$B15,D$107)/1000</f>
        <v>0</v>
      </c>
      <c r="E117" s="23">
        <f>PRODUCT(SEMANAL!$D15,E$106)/1000+PRODUCT(SEMANAL!$B15,E$107)/1000</f>
        <v>0</v>
      </c>
      <c r="F117" s="23">
        <f>PRODUCT(SEMANAL!$D15,F$106)/1000+PRODUCT(SEMANAL!$B15,F$107)/1000</f>
        <v>0</v>
      </c>
      <c r="G117" s="23">
        <f>PRODUCT(SEMANAL!$D15,G$106)/1000+PRODUCT(SEMANAL!$B15,G$107)/1000</f>
        <v>0</v>
      </c>
      <c r="H117" s="23">
        <f>PRODUCT(SEMANAL!$D15,H$106)/1000+PRODUCT(SEMANAL!$B15,H$107)/1000</f>
        <v>0</v>
      </c>
      <c r="I117" s="23">
        <f>PRODUCT(SEMANAL!$D15,I$106)/1000+PRODUCT(SEMANAL!$B15,I$107)/1000</f>
        <v>0</v>
      </c>
      <c r="J117" s="23">
        <f>PRODUCT(SEMANAL!$D15,J$106)/1000+PRODUCT(SEMANAL!$B15,J$107)/1000</f>
        <v>1.4</v>
      </c>
      <c r="K117" s="23">
        <f>PRODUCT(SEMANAL!$D15,K$106)/1000+PRODUCT(SEMANAL!$B15,K$107)/1000</f>
        <v>0</v>
      </c>
      <c r="L117" s="23">
        <f>PRODUCT(SEMANAL!$D15,L$106)/1000+PRODUCT(SEMANAL!$B15,L$107)/1000</f>
        <v>0</v>
      </c>
      <c r="M117" s="23">
        <f>PRODUCT(SEMANAL!$D15,M$106)/1000+PRODUCT(SEMANAL!$B15,M$107)/1000</f>
        <v>0</v>
      </c>
      <c r="N117" s="23">
        <f>PRODUCT(SEMANAL!$D15,N$106)/1000+PRODUCT(SEMANAL!$B15,N$107)/1000</f>
        <v>0</v>
      </c>
      <c r="O117" s="23">
        <f>PRODUCT(SEMANAL!$D15,O$106)/1000+PRODUCT(SEMANAL!$B15,O$107)/1000</f>
        <v>0</v>
      </c>
      <c r="P117" s="23">
        <f>PRODUCT(SEMANAL!$D15,P$106)/1000+PRODUCT(SEMANAL!$B15,P$107)/1000</f>
        <v>0</v>
      </c>
      <c r="Q117" s="23">
        <f>PRODUCT(SEMANAL!$D15,Q$106)/1000+PRODUCT(SEMANAL!$B15,Q$107)/1000</f>
        <v>0</v>
      </c>
      <c r="R117" s="21">
        <f>SUM('OC FRUT y VERD AZUL 2'!B113:Q113)</f>
        <v>2</v>
      </c>
      <c r="S117" s="51">
        <v>1890</v>
      </c>
      <c r="T117" s="51">
        <f t="shared" si="4"/>
        <v>3780</v>
      </c>
      <c r="U117" s="20"/>
      <c r="V117" s="21"/>
      <c r="W117" s="1"/>
      <c r="X117" s="1"/>
      <c r="Y117" s="1"/>
      <c r="Z117" s="1"/>
      <c r="AA117" s="1"/>
      <c r="AB117" s="1"/>
    </row>
    <row r="118" spans="1:28" ht="14.25" customHeight="1">
      <c r="A118" s="22" t="s">
        <v>30</v>
      </c>
      <c r="B118" s="23">
        <f>PRODUCT(SEMANAL!$D16,B$106)/1000+PRODUCT(SEMANAL!$B16,B$107)/1000</f>
        <v>0</v>
      </c>
      <c r="C118" s="23">
        <f>PRODUCT(SEMANAL!$D16,C$106)/1000+PRODUCT(SEMANAL!$B16,C$107)/1000</f>
        <v>0</v>
      </c>
      <c r="D118" s="23">
        <f>PRODUCT(SEMANAL!$D16,D$106)/1000+PRODUCT(SEMANAL!$B16,D$107)/1000</f>
        <v>0</v>
      </c>
      <c r="E118" s="23">
        <f>PRODUCT(SEMANAL!$D16,E$106)/1000+PRODUCT(SEMANAL!$B16,E$107)/1000</f>
        <v>0</v>
      </c>
      <c r="F118" s="23">
        <f>PRODUCT(SEMANAL!$D16,F$106)/1000+PRODUCT(SEMANAL!$B16,F$107)/1000</f>
        <v>0</v>
      </c>
      <c r="G118" s="23">
        <f>PRODUCT(SEMANAL!$D16,G$106)/1000+PRODUCT(SEMANAL!$B16,G$107)/1000</f>
        <v>0</v>
      </c>
      <c r="H118" s="23">
        <f>PRODUCT(SEMANAL!$D16,H$106)/1000+PRODUCT(SEMANAL!$B16,H$107)/1000</f>
        <v>0</v>
      </c>
      <c r="I118" s="23">
        <f>PRODUCT(SEMANAL!$D16,I$106)/1000+PRODUCT(SEMANAL!$B16,I$107)/1000</f>
        <v>0</v>
      </c>
      <c r="J118" s="23">
        <f>PRODUCT(SEMANAL!$D16,J$106)/1000+PRODUCT(SEMANAL!$B16,J$107)/1000</f>
        <v>8.0000000000000002E-3</v>
      </c>
      <c r="K118" s="23">
        <f>PRODUCT(SEMANAL!$D16,K$106)/1000+PRODUCT(SEMANAL!$B16,K$107)/1000</f>
        <v>0</v>
      </c>
      <c r="L118" s="23">
        <f>PRODUCT(SEMANAL!$D16,L$106)/1000+PRODUCT(SEMANAL!$B16,L$107)/1000</f>
        <v>0</v>
      </c>
      <c r="M118" s="23">
        <f>PRODUCT(SEMANAL!$D16,M$106)/1000+PRODUCT(SEMANAL!$B16,M$107)/1000</f>
        <v>0</v>
      </c>
      <c r="N118" s="23">
        <f>PRODUCT(SEMANAL!$D16,N$106)/1000+PRODUCT(SEMANAL!$B16,N$107)/1000</f>
        <v>0</v>
      </c>
      <c r="O118" s="23">
        <f>PRODUCT(SEMANAL!$D16,O$106)/1000+PRODUCT(SEMANAL!$B16,O$107)/1000</f>
        <v>0</v>
      </c>
      <c r="P118" s="23">
        <f>PRODUCT(SEMANAL!$D16,P$106)/1000+PRODUCT(SEMANAL!$B16,P$107)/1000</f>
        <v>0</v>
      </c>
      <c r="Q118" s="23">
        <f>PRODUCT(SEMANAL!$D16,Q$106)/1000+PRODUCT(SEMANAL!$B16,Q$107)/1000</f>
        <v>0</v>
      </c>
      <c r="R118" s="21">
        <f>SUM('OC FRUT y VERD AZUL 2'!B114:Q114)</f>
        <v>1</v>
      </c>
      <c r="S118" s="51">
        <v>700</v>
      </c>
      <c r="T118" s="51">
        <f t="shared" si="4"/>
        <v>700</v>
      </c>
      <c r="U118" s="20"/>
      <c r="V118" s="21"/>
      <c r="W118" s="1"/>
      <c r="X118" s="1"/>
      <c r="Y118" s="1"/>
      <c r="Z118" s="1"/>
      <c r="AA118" s="1"/>
      <c r="AB118" s="1"/>
    </row>
    <row r="119" spans="1:28" ht="14.25" customHeight="1">
      <c r="A119" s="22" t="s">
        <v>31</v>
      </c>
      <c r="B119" s="23">
        <f>PRODUCT(SEMANAL!$D17,B$106)/1000+PRODUCT(SEMANAL!$B17,B$107)/1000</f>
        <v>0</v>
      </c>
      <c r="C119" s="23">
        <f>PRODUCT(SEMANAL!$D17,C$106)/1000+PRODUCT(SEMANAL!$B17,C$107)/1000</f>
        <v>0</v>
      </c>
      <c r="D119" s="23">
        <f>PRODUCT(SEMANAL!$D17,D$106)/1000+PRODUCT(SEMANAL!$B17,D$107)/1000</f>
        <v>0</v>
      </c>
      <c r="E119" s="23">
        <f>PRODUCT(SEMANAL!$D17,E$106)/1000+PRODUCT(SEMANAL!$B17,E$107)/1000</f>
        <v>0</v>
      </c>
      <c r="F119" s="23">
        <f>PRODUCT(SEMANAL!$D17,F$106)/1000+PRODUCT(SEMANAL!$B17,F$107)/1000</f>
        <v>0</v>
      </c>
      <c r="G119" s="23">
        <f>PRODUCT(SEMANAL!$D17,G$106)/1000+PRODUCT(SEMANAL!$B17,G$107)/1000</f>
        <v>0</v>
      </c>
      <c r="H119" s="23">
        <f>PRODUCT(SEMANAL!$D17,H$106)/1000+PRODUCT(SEMANAL!$B17,H$107)/1000</f>
        <v>0</v>
      </c>
      <c r="I119" s="23">
        <f>PRODUCT(SEMANAL!$D17,I$106)/1000+PRODUCT(SEMANAL!$B17,I$107)/1000</f>
        <v>0</v>
      </c>
      <c r="J119" s="23">
        <f>PRODUCT(SEMANAL!$D17,J$106)/1000+PRODUCT(SEMANAL!$B17,J$107)/1000</f>
        <v>8.0000000000000002E-3</v>
      </c>
      <c r="K119" s="23">
        <f>PRODUCT(SEMANAL!$D17,K$106)/1000+PRODUCT(SEMANAL!$B17,K$107)/1000</f>
        <v>0</v>
      </c>
      <c r="L119" s="23">
        <f>PRODUCT(SEMANAL!$D17,L$106)/1000+PRODUCT(SEMANAL!$B17,L$107)/1000</f>
        <v>0</v>
      </c>
      <c r="M119" s="23">
        <f>PRODUCT(SEMANAL!$D17,M$106)/1000+PRODUCT(SEMANAL!$B17,M$107)/1000</f>
        <v>0</v>
      </c>
      <c r="N119" s="23">
        <f>PRODUCT(SEMANAL!$D17,N$106)/1000+PRODUCT(SEMANAL!$B17,N$107)/1000</f>
        <v>0</v>
      </c>
      <c r="O119" s="23">
        <f>PRODUCT(SEMANAL!$D17,O$106)/1000+PRODUCT(SEMANAL!$B17,O$107)/1000</f>
        <v>0</v>
      </c>
      <c r="P119" s="23">
        <f>PRODUCT(SEMANAL!$D17,P$106)/1000+PRODUCT(SEMANAL!$B17,P$107)/1000</f>
        <v>0</v>
      </c>
      <c r="Q119" s="23">
        <f>PRODUCT(SEMANAL!$D17,Q$106)/1000+PRODUCT(SEMANAL!$B17,Q$107)/1000</f>
        <v>0</v>
      </c>
      <c r="R119" s="21">
        <f>SUM('OC FRUT y VERD AZUL 2'!B115:Q115)</f>
        <v>1</v>
      </c>
      <c r="S119" s="51">
        <v>1990</v>
      </c>
      <c r="T119" s="51">
        <f t="shared" si="4"/>
        <v>1990</v>
      </c>
      <c r="U119" s="20"/>
      <c r="V119" s="21"/>
      <c r="W119" s="1"/>
      <c r="X119" s="1"/>
      <c r="Y119" s="1"/>
      <c r="Z119" s="1"/>
      <c r="AA119" s="1"/>
      <c r="AB119" s="1"/>
    </row>
    <row r="120" spans="1:28" ht="14.25" customHeight="1">
      <c r="A120" s="22" t="s">
        <v>32</v>
      </c>
      <c r="B120" s="23">
        <f>PRODUCT(SEMANAL!$D18,B$106)/12+PRODUCT(SEMANAL!$B18,B$107)/12</f>
        <v>0</v>
      </c>
      <c r="C120" s="23">
        <f>PRODUCT(SEMANAL!$D18,C$106)/12+PRODUCT(SEMANAL!$B18,C$107)/12</f>
        <v>0</v>
      </c>
      <c r="D120" s="23">
        <f>PRODUCT(SEMANAL!$D18,D$106)/12+PRODUCT(SEMANAL!$B18,D$107)/12</f>
        <v>0</v>
      </c>
      <c r="E120" s="23">
        <f>PRODUCT(SEMANAL!$D18,E$106)/12+PRODUCT(SEMANAL!$B18,E$107)/12</f>
        <v>0</v>
      </c>
      <c r="F120" s="23">
        <f>PRODUCT(SEMANAL!$D18,F$106)/12+PRODUCT(SEMANAL!$B18,F$107)/12</f>
        <v>0</v>
      </c>
      <c r="G120" s="23">
        <f>PRODUCT(SEMANAL!$D18,G$106)/12+PRODUCT(SEMANAL!$B18,G$107)/12</f>
        <v>0</v>
      </c>
      <c r="H120" s="23">
        <f>PRODUCT(SEMANAL!$D18,H$106)/12+PRODUCT(SEMANAL!$B18,H$107)/12</f>
        <v>0</v>
      </c>
      <c r="I120" s="23">
        <f>PRODUCT(SEMANAL!$D18,I$106)/12+PRODUCT(SEMANAL!$B18,I$107)/12</f>
        <v>0</v>
      </c>
      <c r="J120" s="23">
        <f>PRODUCT(SEMANAL!$D18,J$106)/12+PRODUCT(SEMANAL!$B18,J$107)/12</f>
        <v>5</v>
      </c>
      <c r="K120" s="23">
        <f>PRODUCT(SEMANAL!$D18,K$106)/12+PRODUCT(SEMANAL!$B18,K$107)/12</f>
        <v>0</v>
      </c>
      <c r="L120" s="23">
        <f>PRODUCT(SEMANAL!$D18,L$106)/12+PRODUCT(SEMANAL!$B18,L$107)/12</f>
        <v>0</v>
      </c>
      <c r="M120" s="23">
        <f>PRODUCT(SEMANAL!$D18,M$106)/12+PRODUCT(SEMANAL!$B18,M$107)/12</f>
        <v>0</v>
      </c>
      <c r="N120" s="23">
        <f>PRODUCT(SEMANAL!$D18,N$106)/12+PRODUCT(SEMANAL!$B18,N$107)/12</f>
        <v>0</v>
      </c>
      <c r="O120" s="23">
        <f>PRODUCT(SEMANAL!$D18,O$106)/12+PRODUCT(SEMANAL!$B18,O$107)/12</f>
        <v>0</v>
      </c>
      <c r="P120" s="23">
        <f>PRODUCT(SEMANAL!$D18,P$106)/12+PRODUCT(SEMANAL!$B18,P$107)/12</f>
        <v>0</v>
      </c>
      <c r="Q120" s="23">
        <f>PRODUCT(SEMANAL!$D18,Q$106)/12+PRODUCT(SEMANAL!$B18,Q$107)/12</f>
        <v>0</v>
      </c>
      <c r="R120" s="21">
        <f>SUM('OC FRUT y VERD AZUL 2'!B116:Q116)</f>
        <v>5</v>
      </c>
      <c r="S120" s="51">
        <v>2100</v>
      </c>
      <c r="T120" s="51">
        <f t="shared" si="4"/>
        <v>10500</v>
      </c>
      <c r="U120" s="20"/>
      <c r="V120" s="21"/>
      <c r="W120" s="1"/>
      <c r="X120" s="1"/>
      <c r="Y120" s="1"/>
      <c r="Z120" s="1"/>
      <c r="AA120" s="1"/>
      <c r="AB120" s="1"/>
    </row>
    <row r="121" spans="1:28" ht="14.2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20"/>
      <c r="S121" s="52" t="s">
        <v>33</v>
      </c>
      <c r="T121" s="51">
        <f>T108+T109+T110+T111+T112+T113+T114+T115+T116+T117+T118+T119+T120</f>
        <v>819900</v>
      </c>
      <c r="U121" s="20"/>
      <c r="V121" s="21"/>
      <c r="W121" s="1"/>
      <c r="X121" s="1"/>
      <c r="Y121" s="1"/>
      <c r="Z121" s="1"/>
      <c r="AA121" s="1"/>
      <c r="AB121" s="1"/>
    </row>
    <row r="122" spans="1:28" ht="14.2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20"/>
      <c r="S122" s="20" t="s">
        <v>89</v>
      </c>
      <c r="T122" s="35">
        <f>Q31+Q53+Q76+Q99+T121</f>
        <v>7337390</v>
      </c>
      <c r="U122" s="20"/>
      <c r="V122" s="21"/>
      <c r="W122" s="1"/>
      <c r="X122" s="1"/>
      <c r="Y122" s="1"/>
      <c r="Z122" s="1"/>
      <c r="AA122" s="1"/>
      <c r="AB122" s="1"/>
    </row>
    <row r="123" spans="1:28" ht="14.2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20"/>
      <c r="S123" s="20"/>
      <c r="T123" s="20"/>
      <c r="U123" s="20"/>
      <c r="V123" s="21"/>
      <c r="W123" s="1"/>
      <c r="X123" s="1"/>
      <c r="Y123" s="1"/>
      <c r="Z123" s="1"/>
      <c r="AA123" s="1"/>
      <c r="AB123" s="1"/>
    </row>
    <row r="124" spans="1:28" ht="14.2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20"/>
      <c r="S124" s="20"/>
      <c r="T124" s="20"/>
      <c r="U124" s="20"/>
      <c r="V124" s="21"/>
      <c r="W124" s="1"/>
      <c r="X124" s="1"/>
      <c r="Y124" s="1"/>
      <c r="Z124" s="1"/>
      <c r="AA124" s="1"/>
      <c r="AB124" s="1"/>
    </row>
    <row r="125" spans="1:28" ht="14.2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20"/>
      <c r="S125" s="20"/>
      <c r="T125" s="20"/>
      <c r="U125" s="20"/>
      <c r="V125" s="21"/>
      <c r="W125" s="1"/>
      <c r="X125" s="1"/>
      <c r="Y125" s="1"/>
      <c r="Z125" s="1"/>
      <c r="AA125" s="1"/>
      <c r="AB125" s="1"/>
    </row>
    <row r="126" spans="1:28" ht="14.2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20"/>
      <c r="S126" s="20"/>
      <c r="T126" s="20"/>
      <c r="U126" s="20"/>
      <c r="V126" s="21"/>
      <c r="W126" s="1"/>
      <c r="X126" s="1"/>
      <c r="Y126" s="1"/>
      <c r="Z126" s="1"/>
      <c r="AA126" s="1"/>
      <c r="AB126" s="1"/>
    </row>
    <row r="127" spans="1:28" ht="14.2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20"/>
      <c r="S127" s="20"/>
      <c r="T127" s="20"/>
      <c r="U127" s="20"/>
      <c r="V127" s="21"/>
      <c r="W127" s="1"/>
      <c r="X127" s="1"/>
      <c r="Y127" s="1"/>
      <c r="Z127" s="1"/>
      <c r="AA127" s="1"/>
      <c r="AB127" s="1"/>
    </row>
    <row r="128" spans="1:28" ht="14.25" customHeight="1">
      <c r="A128" s="53"/>
      <c r="B128" s="53"/>
      <c r="C128" s="53"/>
      <c r="D128" s="1"/>
      <c r="E128" s="53"/>
      <c r="F128" s="53"/>
      <c r="G128" s="1"/>
      <c r="H128" s="4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1"/>
      <c r="W128" s="1"/>
      <c r="X128" s="1"/>
      <c r="Y128" s="1"/>
      <c r="Z128" s="1"/>
      <c r="AA128" s="1"/>
      <c r="AB128" s="1"/>
    </row>
    <row r="129" spans="1:28" ht="14.25" customHeight="1">
      <c r="A129" s="54" t="s">
        <v>90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"/>
      <c r="R129" s="20"/>
      <c r="S129" s="20"/>
      <c r="T129" s="20"/>
      <c r="U129" s="20"/>
      <c r="V129" s="21"/>
      <c r="W129" s="1"/>
      <c r="X129" s="1"/>
      <c r="Y129" s="1"/>
      <c r="Z129" s="1"/>
      <c r="AA129" s="1"/>
      <c r="AB129" s="1"/>
    </row>
    <row r="130" spans="1:28" ht="21" customHeight="1">
      <c r="A130" s="54" t="s">
        <v>91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"/>
      <c r="R130" s="20"/>
      <c r="S130" s="20"/>
      <c r="T130" s="20"/>
      <c r="U130" s="20"/>
      <c r="V130" s="21"/>
      <c r="W130" s="1"/>
      <c r="X130" s="1"/>
      <c r="Y130" s="1"/>
      <c r="Z130" s="1"/>
      <c r="AA130" s="1"/>
      <c r="AB130" s="1"/>
    </row>
    <row r="131" spans="1:28" ht="14.2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25" customHeight="1">
      <c r="A132" s="55"/>
      <c r="B132" s="36" t="s">
        <v>5</v>
      </c>
      <c r="C132" s="56" t="s">
        <v>6</v>
      </c>
      <c r="D132" s="36" t="s">
        <v>7</v>
      </c>
      <c r="E132" s="36" t="s">
        <v>8</v>
      </c>
      <c r="F132" s="36" t="s">
        <v>9</v>
      </c>
      <c r="G132" s="36" t="s">
        <v>10</v>
      </c>
      <c r="H132" s="36" t="s">
        <v>11</v>
      </c>
      <c r="I132" s="36" t="s">
        <v>12</v>
      </c>
      <c r="J132" s="36" t="s">
        <v>13</v>
      </c>
      <c r="K132" s="36" t="s">
        <v>14</v>
      </c>
      <c r="L132" s="57" t="s">
        <v>15</v>
      </c>
      <c r="M132" s="58" t="s">
        <v>16</v>
      </c>
      <c r="N132" s="58" t="s">
        <v>17</v>
      </c>
      <c r="O132" s="55"/>
      <c r="P132" s="55"/>
      <c r="Q132" s="3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25" customHeight="1">
      <c r="A133" s="55"/>
      <c r="B133" s="19">
        <v>94</v>
      </c>
      <c r="C133" s="19">
        <v>101</v>
      </c>
      <c r="D133" s="19">
        <v>6</v>
      </c>
      <c r="E133" s="19">
        <v>164</v>
      </c>
      <c r="F133" s="19">
        <v>90</v>
      </c>
      <c r="G133" s="19">
        <v>28</v>
      </c>
      <c r="H133" s="19">
        <v>27</v>
      </c>
      <c r="I133" s="19">
        <v>71</v>
      </c>
      <c r="J133" s="19">
        <v>148</v>
      </c>
      <c r="K133" s="19">
        <v>86</v>
      </c>
      <c r="L133" s="19">
        <v>92</v>
      </c>
      <c r="M133" s="19">
        <v>13</v>
      </c>
      <c r="N133" s="19">
        <v>22</v>
      </c>
      <c r="O133" s="55"/>
      <c r="P133" s="55"/>
      <c r="Q133" s="3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25" customHeight="1">
      <c r="A134" s="55"/>
      <c r="B134" s="19">
        <v>47</v>
      </c>
      <c r="C134" s="19">
        <v>0</v>
      </c>
      <c r="D134" s="19">
        <v>3</v>
      </c>
      <c r="E134" s="19">
        <v>82</v>
      </c>
      <c r="F134" s="19">
        <v>0</v>
      </c>
      <c r="G134" s="19">
        <v>14</v>
      </c>
      <c r="H134" s="19">
        <v>0</v>
      </c>
      <c r="I134" s="19">
        <v>0</v>
      </c>
      <c r="J134" s="19">
        <v>87</v>
      </c>
      <c r="K134" s="19">
        <v>43</v>
      </c>
      <c r="L134" s="19">
        <v>56</v>
      </c>
      <c r="M134" s="19">
        <v>0</v>
      </c>
      <c r="N134" s="19">
        <v>10</v>
      </c>
      <c r="O134" s="55"/>
      <c r="P134" s="55"/>
      <c r="Q134" s="33"/>
      <c r="R134" s="9"/>
      <c r="S134" s="9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25" customHeight="1">
      <c r="A135" s="22" t="s">
        <v>92</v>
      </c>
      <c r="B135" s="59">
        <f>PRODUCT(SEMANAL!$D24,B$133)/1000+PRODUCT(SEMANAL!$B24,B$134)/1000</f>
        <v>62.274999999999999</v>
      </c>
      <c r="C135" s="59">
        <f>PRODUCT(SEMANAL!$D24,C$133)/1000+PRODUCT(SEMANAL!$B24,C$134)/1000</f>
        <v>60.6</v>
      </c>
      <c r="D135" s="59">
        <f>PRODUCT(SEMANAL!$D24,D$133)/1000+PRODUCT(SEMANAL!$B24,D$134)/1000</f>
        <v>3.9750000000000001</v>
      </c>
      <c r="E135" s="59">
        <f>PRODUCT(SEMANAL!$D24,E$133)/1000+PRODUCT(SEMANAL!$B24,E$134)/1000</f>
        <v>108.65</v>
      </c>
      <c r="F135" s="59">
        <f>PRODUCT(SEMANAL!$D24,F$133)/1000+PRODUCT(SEMANAL!$B24,F$134)/1000</f>
        <v>54</v>
      </c>
      <c r="G135" s="59">
        <f>PRODUCT(SEMANAL!$D24,G$133)/1000+PRODUCT(SEMANAL!$B24,G$134)/1000</f>
        <v>18.55</v>
      </c>
      <c r="H135" s="59">
        <f>PRODUCT(SEMANAL!$D24,H$133)/1000+PRODUCT(SEMANAL!$B24,H$134)/1000</f>
        <v>16.2</v>
      </c>
      <c r="I135" s="59">
        <f>PRODUCT(SEMANAL!$D24,I$133)/1000+PRODUCT(SEMANAL!$B24,I$134)/1000</f>
        <v>42.6</v>
      </c>
      <c r="J135" s="59">
        <f>PRODUCT(SEMANAL!$D24,J$133)/1000+PRODUCT(SEMANAL!$B24,J$134)/1000</f>
        <v>99.674999999999997</v>
      </c>
      <c r="K135" s="59">
        <f>PRODUCT(SEMANAL!$D24,K$133)/1000+PRODUCT(SEMANAL!$B24,K$134)/1000</f>
        <v>56.975000000000001</v>
      </c>
      <c r="L135" s="59">
        <f>PRODUCT(SEMANAL!$D24,L$133)/1000+PRODUCT(SEMANAL!$B24,L$134)/1000</f>
        <v>62.2</v>
      </c>
      <c r="M135" s="59">
        <f>PRODUCT(SEMANAL!$D24,M$133)/1000+PRODUCT(SEMANAL!$B24,M$134)/1000</f>
        <v>7.8</v>
      </c>
      <c r="N135" s="59">
        <f>PRODUCT(SEMANAL!$D24,N$133)/1000+PRODUCT(SEMANAL!$B24,N$134)/1000</f>
        <v>14.45</v>
      </c>
      <c r="O135" s="60">
        <f>SUM('OC SECOS y LAC AZUL 2'!B16:N16)</f>
        <v>360</v>
      </c>
      <c r="P135" s="55">
        <v>1651</v>
      </c>
      <c r="Q135" s="33">
        <f t="shared" ref="Q135:Q157" si="5">O135*P135</f>
        <v>594360</v>
      </c>
      <c r="R135" s="9"/>
      <c r="S135" s="9"/>
      <c r="T135" s="1"/>
      <c r="U135" s="1"/>
      <c r="V135" s="1"/>
      <c r="W135" s="1"/>
      <c r="X135" s="1"/>
    </row>
    <row r="136" spans="1:28" ht="14.25" customHeight="1">
      <c r="A136" s="22" t="s">
        <v>93</v>
      </c>
      <c r="B136" s="59">
        <f>PRODUCT(SEMANAL!D$25,B$133)/1000+PRODUCT(SEMANAL!B$25,B$134)/1000</f>
        <v>1.7389999999999999</v>
      </c>
      <c r="C136" s="59">
        <f>PRODUCT(SEMANAL!E$25,C$133)/1000+PRODUCT(SEMANAL!C$25,C$134)/1000</f>
        <v>1.5149999999999999</v>
      </c>
      <c r="D136" s="59">
        <f>PRODUCT(SEMANAL!F$25,D$133)/1000+PRODUCT(SEMANAL!D$25,D$134)/1000</f>
        <v>0.17699999999999999</v>
      </c>
      <c r="E136" s="59">
        <f>PRODUCT(SEMANAL!G$25,E$133)/1000+PRODUCT(SEMANAL!E$25,E$134)/1000</f>
        <v>3.69</v>
      </c>
      <c r="F136" s="59">
        <f>PRODUCT(SEMANAL!H$25,F$133)/1000+PRODUCT(SEMANAL!F$25,F$134)/1000</f>
        <v>0.09</v>
      </c>
      <c r="G136" s="59">
        <f>PRODUCT(SEMANAL!I$25,G$133)/1000+PRODUCT(SEMANAL!G$25,G$134)/1000</f>
        <v>0.23799999999999999</v>
      </c>
      <c r="H136" s="59">
        <f>PRODUCT(SEMANAL!J$25,H$133)/1000+PRODUCT(SEMANAL!H$25,H$134)/1000</f>
        <v>2.7E-2</v>
      </c>
      <c r="I136" s="59">
        <f>PRODUCT(SEMANAL!K$25,I$133)/1000+PRODUCT(SEMANAL!I$25,I$134)/1000</f>
        <v>7.0999999999999994E-2</v>
      </c>
      <c r="J136" s="59">
        <f>PRODUCT(SEMANAL!L$25,J$133)/1000+PRODUCT(SEMANAL!J$25,J$134)/1000</f>
        <v>0.23499999999999999</v>
      </c>
      <c r="K136" s="59">
        <f>PRODUCT(SEMANAL!M$25,K$133)/1000+PRODUCT(SEMANAL!K$25,K$134)/1000</f>
        <v>0.129</v>
      </c>
      <c r="L136" s="59">
        <f>PRODUCT(SEMANAL!N$25,L$133)/1000+PRODUCT(SEMANAL!L$25,L$134)/1000</f>
        <v>0.14799999999999999</v>
      </c>
      <c r="M136" s="59">
        <f>PRODUCT(SEMANAL!O$25,M$133)/1000+PRODUCT(SEMANAL!M$25,M$134)/1000</f>
        <v>1.2999999999999999E-2</v>
      </c>
      <c r="N136" s="59">
        <f>PRODUCT(SEMANAL!P$25,N$133)/1000+PRODUCT(SEMANAL!N$25,N$134)/1000</f>
        <v>3.2000000000000001E-2</v>
      </c>
      <c r="O136" s="60">
        <f>SUM('OC SECOS y LAC AZUL 2'!B17:N17)</f>
        <v>17</v>
      </c>
      <c r="P136" s="55">
        <v>1274</v>
      </c>
      <c r="Q136" s="33">
        <f t="shared" si="5"/>
        <v>21658</v>
      </c>
      <c r="R136" s="35"/>
      <c r="S136" s="35"/>
      <c r="T136" s="1"/>
      <c r="U136" s="1"/>
      <c r="V136" s="1"/>
      <c r="W136" s="1"/>
      <c r="X136" s="1"/>
    </row>
    <row r="137" spans="1:28" ht="14.25" customHeight="1">
      <c r="A137" s="22" t="s">
        <v>94</v>
      </c>
      <c r="B137" s="59">
        <f>PRODUCT(SEMANAL!$D26,B$133)/25+PRODUCT(SEMANAL!$B26,B$134)/25</f>
        <v>5.64</v>
      </c>
      <c r="C137" s="59">
        <f>PRODUCT(SEMANAL!$D26,C$133)/25+PRODUCT(SEMANAL!$B26,C$134)/25</f>
        <v>6.06</v>
      </c>
      <c r="D137" s="59">
        <f>PRODUCT(SEMANAL!$D26,D$133)/25+PRODUCT(SEMANAL!$B26,D$134)/25</f>
        <v>0.36</v>
      </c>
      <c r="E137" s="59">
        <f>PRODUCT(SEMANAL!$D26,E$133)/25+PRODUCT(SEMANAL!$B26,E$134)/25</f>
        <v>9.84</v>
      </c>
      <c r="F137" s="59">
        <f>PRODUCT(SEMANAL!$D26,F$133)/25+PRODUCT(SEMANAL!$B26,F$134)/25</f>
        <v>5.4</v>
      </c>
      <c r="G137" s="59">
        <f>PRODUCT(SEMANAL!$D26,G$133)/25+PRODUCT(SEMANAL!$B26,G$134)/25</f>
        <v>1.68</v>
      </c>
      <c r="H137" s="59">
        <f>PRODUCT(SEMANAL!$D26,H$133)/25+PRODUCT(SEMANAL!$B26,H$134)/25</f>
        <v>1.62</v>
      </c>
      <c r="I137" s="59">
        <f>PRODUCT(SEMANAL!$D26,I$133)/25+PRODUCT(SEMANAL!$B26,I$134)/25</f>
        <v>4.26</v>
      </c>
      <c r="J137" s="59">
        <f>PRODUCT(SEMANAL!$D26,J$133)/25+PRODUCT(SEMANAL!$B26,J$134)/25</f>
        <v>8.8800000000000008</v>
      </c>
      <c r="K137" s="59">
        <f>PRODUCT(SEMANAL!$D26,K$133)/25+PRODUCT(SEMANAL!$B26,K$134)/25</f>
        <v>5.16</v>
      </c>
      <c r="L137" s="59">
        <f>PRODUCT(SEMANAL!$D26,L$133)/25+PRODUCT(SEMANAL!$B26,L$134)/25</f>
        <v>5.52</v>
      </c>
      <c r="M137" s="59">
        <f>PRODUCT(SEMANAL!$D26,M$133)/25+PRODUCT(SEMANAL!$B26,M$134)/25</f>
        <v>0.78</v>
      </c>
      <c r="N137" s="59">
        <f>PRODUCT(SEMANAL!$D26,N$133)/25+PRODUCT(SEMANAL!$B26,N$134)/25</f>
        <v>1.32</v>
      </c>
      <c r="O137" s="60">
        <f>SUM('OC SECOS y LAC AZUL 2'!B18:N18)</f>
        <v>13</v>
      </c>
      <c r="P137" s="55">
        <v>536</v>
      </c>
      <c r="Q137" s="33">
        <f t="shared" si="5"/>
        <v>6968</v>
      </c>
      <c r="R137" s="35"/>
      <c r="S137" s="35"/>
      <c r="T137" s="1"/>
      <c r="U137" s="1"/>
      <c r="V137" s="1"/>
      <c r="W137" s="1"/>
      <c r="X137" s="1"/>
    </row>
    <row r="138" spans="1:28" ht="14.25" customHeight="1">
      <c r="A138" s="22" t="s">
        <v>95</v>
      </c>
      <c r="B138" s="59">
        <f>PRODUCT(SEMANAL!$D27,B$133)/360+PRODUCT(SEMANAL!$B27,B$134)/360</f>
        <v>5.2222222222222223</v>
      </c>
      <c r="C138" s="59">
        <f>PRODUCT(SEMANAL!$D27,C$133)/360+PRODUCT(SEMANAL!$B27,C$134)/360</f>
        <v>5.6111111111111107</v>
      </c>
      <c r="D138" s="59">
        <f>PRODUCT(SEMANAL!$D27,D$133)/360+PRODUCT(SEMANAL!$B27,D$134)/360</f>
        <v>0.33333333333333331</v>
      </c>
      <c r="E138" s="59">
        <f>PRODUCT(SEMANAL!$D27,E$133)/360+PRODUCT(SEMANAL!$B27,E$134)/360</f>
        <v>9.1111111111111107</v>
      </c>
      <c r="F138" s="59">
        <f>PRODUCT(SEMANAL!$D27,F$133)/360+PRODUCT(SEMANAL!$B27,F$134)/360</f>
        <v>5</v>
      </c>
      <c r="G138" s="59">
        <f>PRODUCT(SEMANAL!$D27,G$133)/360+PRODUCT(SEMANAL!$B27,G$134)/360</f>
        <v>1.5555555555555556</v>
      </c>
      <c r="H138" s="59">
        <f>PRODUCT(SEMANAL!$D27,H$133)/360+PRODUCT(SEMANAL!$B27,H$134)/360</f>
        <v>1.5</v>
      </c>
      <c r="I138" s="59">
        <f>PRODUCT(SEMANAL!$D27,I$133)/360+PRODUCT(SEMANAL!$B27,I$134)/360</f>
        <v>3.9444444444444446</v>
      </c>
      <c r="J138" s="59">
        <f>PRODUCT(SEMANAL!$D27,J$133)/360+PRODUCT(SEMANAL!$B27,J$134)/360</f>
        <v>8.2222222222222214</v>
      </c>
      <c r="K138" s="59">
        <f>PRODUCT(SEMANAL!$D27,K$133)/360+PRODUCT(SEMANAL!$B27,K$134)/360</f>
        <v>4.7777777777777777</v>
      </c>
      <c r="L138" s="59">
        <f>PRODUCT(SEMANAL!$D27,L$133)/360+PRODUCT(SEMANAL!$B27,L$134)/360</f>
        <v>5.1111111111111107</v>
      </c>
      <c r="M138" s="59">
        <f>PRODUCT(SEMANAL!$D27,M$133)/360+PRODUCT(SEMANAL!$B27,M$134)/360</f>
        <v>0.72222222222222221</v>
      </c>
      <c r="N138" s="59">
        <f>PRODUCT(SEMANAL!$D27,N$133)/360+PRODUCT(SEMANAL!$B27,N$134)/360</f>
        <v>1.2222222222222223</v>
      </c>
      <c r="O138" s="60">
        <f>SUM('OC SECOS y LAC AZUL 2'!B19:N19)</f>
        <v>44</v>
      </c>
      <c r="P138" s="55">
        <v>2141</v>
      </c>
      <c r="Q138" s="33">
        <f t="shared" si="5"/>
        <v>94204</v>
      </c>
      <c r="R138" s="35"/>
      <c r="S138" s="35"/>
      <c r="T138" s="1"/>
      <c r="U138" s="1"/>
      <c r="V138" s="1"/>
      <c r="W138" s="1"/>
      <c r="X138" s="1"/>
    </row>
    <row r="139" spans="1:28" ht="14.25" customHeight="1">
      <c r="A139" s="22" t="s">
        <v>96</v>
      </c>
      <c r="B139" s="59">
        <f>PRODUCT(SEMANAL!$D28,B$133)/400+PRODUCT(SEMANAL!$B28,B$134)/400</f>
        <v>7.05</v>
      </c>
      <c r="C139" s="59">
        <f>PRODUCT(SEMANAL!$D28,C$133)/400+PRODUCT(SEMANAL!$B28,C$134)/400</f>
        <v>7.5750000000000002</v>
      </c>
      <c r="D139" s="59">
        <f>PRODUCT(SEMANAL!$D28,D$133)/400+PRODUCT(SEMANAL!$B28,D$134)/400</f>
        <v>0.45</v>
      </c>
      <c r="E139" s="59">
        <f>PRODUCT(SEMANAL!$D28,E$133)/400+PRODUCT(SEMANAL!$B28,E$134)/400</f>
        <v>12.3</v>
      </c>
      <c r="F139" s="59">
        <f>PRODUCT(SEMANAL!$D28,F$133)/400+PRODUCT(SEMANAL!$B28,F$134)/400</f>
        <v>6.75</v>
      </c>
      <c r="G139" s="59">
        <f>PRODUCT(SEMANAL!$D28,G$133)/400+PRODUCT(SEMANAL!$B28,G$134)/400</f>
        <v>2.1</v>
      </c>
      <c r="H139" s="59">
        <f>PRODUCT(SEMANAL!$D28,H$133)/400+PRODUCT(SEMANAL!$B28,H$134)/400</f>
        <v>2.0249999999999999</v>
      </c>
      <c r="I139" s="59">
        <f>PRODUCT(SEMANAL!$D28,I$133)/400+PRODUCT(SEMANAL!$B28,I$134)/400</f>
        <v>5.3250000000000002</v>
      </c>
      <c r="J139" s="59">
        <f>PRODUCT(SEMANAL!$D28,J$133)/400+PRODUCT(SEMANAL!$B28,J$134)/400</f>
        <v>11.1</v>
      </c>
      <c r="K139" s="59">
        <f>PRODUCT(SEMANAL!$D28,K$133)/400+PRODUCT(SEMANAL!$B28,K$134)/400</f>
        <v>6.45</v>
      </c>
      <c r="L139" s="59">
        <f>PRODUCT(SEMANAL!$D28,L$133)/400+PRODUCT(SEMANAL!$B28,L$134)/400</f>
        <v>6.9</v>
      </c>
      <c r="M139" s="59">
        <f>PRODUCT(SEMANAL!$D28,M$133)/400+PRODUCT(SEMANAL!$B28,M$134)/400</f>
        <v>0.97499999999999998</v>
      </c>
      <c r="N139" s="59">
        <f>PRODUCT(SEMANAL!$D28,N$133)/400+PRODUCT(SEMANAL!$B28,N$134)/400</f>
        <v>1.65</v>
      </c>
      <c r="O139" s="60">
        <f>SUM('OC SECOS y LAC AZUL 2'!B20:N20)</f>
        <v>66</v>
      </c>
      <c r="P139" s="55">
        <v>1755</v>
      </c>
      <c r="Q139" s="33">
        <f t="shared" si="5"/>
        <v>115830</v>
      </c>
      <c r="R139" s="10"/>
      <c r="S139" s="10"/>
      <c r="T139" s="1"/>
      <c r="U139" s="1"/>
      <c r="V139" s="1"/>
      <c r="W139" s="1"/>
      <c r="X139" s="1"/>
    </row>
    <row r="140" spans="1:28" ht="14.25" customHeight="1">
      <c r="A140" s="22" t="s">
        <v>97</v>
      </c>
      <c r="B140" s="59">
        <f>PRODUCT(SEMANAL!$D29,B$133)/1000+PRODUCT(SEMANAL!$B29,B$134)/1000</f>
        <v>1.88</v>
      </c>
      <c r="C140" s="59">
        <f>PRODUCT(SEMANAL!$D29,C$133)/1000+PRODUCT(SEMANAL!$B29,C$134)/1000</f>
        <v>2.02</v>
      </c>
      <c r="D140" s="59">
        <f>PRODUCT(SEMANAL!$D29,D$133)/1000+PRODUCT(SEMANAL!$B29,D$134)/1000</f>
        <v>0.12</v>
      </c>
      <c r="E140" s="59">
        <f>PRODUCT(SEMANAL!$D29,E$133)/1000+PRODUCT(SEMANAL!$B29,E$134)/1000</f>
        <v>3.28</v>
      </c>
      <c r="F140" s="59">
        <f>PRODUCT(SEMANAL!$D29,F$133)/1000+PRODUCT(SEMANAL!$B29,F$134)/1000</f>
        <v>1.8</v>
      </c>
      <c r="G140" s="59">
        <f>PRODUCT(SEMANAL!$D29,G$133)/1000+PRODUCT(SEMANAL!$B29,G$134)/1000</f>
        <v>0.56000000000000005</v>
      </c>
      <c r="H140" s="59">
        <f>PRODUCT(SEMANAL!$D29,H$133)/1000+PRODUCT(SEMANAL!$B29,H$134)/1000</f>
        <v>0.54</v>
      </c>
      <c r="I140" s="59">
        <f>PRODUCT(SEMANAL!$D29,I$133)/1000+PRODUCT(SEMANAL!$B29,I$134)/1000</f>
        <v>1.42</v>
      </c>
      <c r="J140" s="59">
        <f>PRODUCT(SEMANAL!$D29,J$133)/1000+PRODUCT(SEMANAL!$B29,J$134)/1000</f>
        <v>2.96</v>
      </c>
      <c r="K140" s="59">
        <f>PRODUCT(SEMANAL!$D29,K$133)/1000+PRODUCT(SEMANAL!$B29,K$134)/1000</f>
        <v>1.72</v>
      </c>
      <c r="L140" s="59">
        <f>PRODUCT(SEMANAL!$D29,L$133)/1000+PRODUCT(SEMANAL!$B29,L$134)/1000</f>
        <v>1.84</v>
      </c>
      <c r="M140" s="59">
        <f>PRODUCT(SEMANAL!$D29,M$133)/1000+PRODUCT(SEMANAL!$B29,M$134)/1000</f>
        <v>0.26</v>
      </c>
      <c r="N140" s="59">
        <f>PRODUCT(SEMANAL!$D29,N$133)/1000+PRODUCT(SEMANAL!$B29,N$134)/1000</f>
        <v>0.44</v>
      </c>
      <c r="O140" s="60">
        <f>SUM('OC SECOS y LAC AZUL 2'!B21:N21)</f>
        <v>9</v>
      </c>
      <c r="P140" s="55">
        <v>2125</v>
      </c>
      <c r="Q140" s="33">
        <f t="shared" si="5"/>
        <v>19125</v>
      </c>
      <c r="R140" s="10"/>
      <c r="S140" s="10"/>
      <c r="T140" s="1"/>
      <c r="U140" s="1"/>
      <c r="V140" s="1"/>
      <c r="W140" s="1"/>
      <c r="X140" s="1"/>
    </row>
    <row r="141" spans="1:28" ht="14.25" customHeight="1">
      <c r="A141" s="22" t="s">
        <v>98</v>
      </c>
      <c r="B141" s="59">
        <f>PRODUCT(SEMANAL!$D30,B$133)/1000+PRODUCT(SEMANAL!$B30,B$134)/1000</f>
        <v>2.35</v>
      </c>
      <c r="C141" s="59">
        <f>PRODUCT(SEMANAL!$D30,C$133)/1000+PRODUCT(SEMANAL!$B30,C$134)/1000</f>
        <v>0</v>
      </c>
      <c r="D141" s="59">
        <f>PRODUCT(SEMANAL!$D30,D$133)/1000+PRODUCT(SEMANAL!$B30,D$134)/1000</f>
        <v>0.15</v>
      </c>
      <c r="E141" s="59">
        <f>PRODUCT(SEMANAL!$D30,E$133)/1000+PRODUCT(SEMANAL!$B30,E$134)/1000</f>
        <v>4.0999999999999996</v>
      </c>
      <c r="F141" s="59">
        <f>PRODUCT(SEMANAL!$D30,F$133)/1000+PRODUCT(SEMANAL!$B30,F$134)/1000</f>
        <v>0</v>
      </c>
      <c r="G141" s="59">
        <f>PRODUCT(SEMANAL!$D30,G$133)/1000+PRODUCT(SEMANAL!$B30,G$134)/1000</f>
        <v>0.7</v>
      </c>
      <c r="H141" s="59">
        <f>PRODUCT(SEMANAL!$D30,H$133)/1000+PRODUCT(SEMANAL!$B30,H$134)/1000</f>
        <v>0</v>
      </c>
      <c r="I141" s="59">
        <f>PRODUCT(SEMANAL!$D30,I$133)/1000+PRODUCT(SEMANAL!$B30,I$134)/1000</f>
        <v>0</v>
      </c>
      <c r="J141" s="59">
        <f>PRODUCT(SEMANAL!$D30,J$133)/1000+PRODUCT(SEMANAL!$B30,J$134)/1000</f>
        <v>4.3499999999999996</v>
      </c>
      <c r="K141" s="59">
        <f>PRODUCT(SEMANAL!$D30,K$133)/1000+PRODUCT(SEMANAL!$B30,K$134)/1000</f>
        <v>2.15</v>
      </c>
      <c r="L141" s="59">
        <f>PRODUCT(SEMANAL!$D30,L$133)/1000+PRODUCT(SEMANAL!$B30,L$134)/1000</f>
        <v>2.8</v>
      </c>
      <c r="M141" s="59">
        <f>PRODUCT(SEMANAL!$D30,M$133)/1000+PRODUCT(SEMANAL!$B30,M$134)/1000</f>
        <v>0</v>
      </c>
      <c r="N141" s="59">
        <f>PRODUCT(SEMANAL!$D30,N$133)/1000+PRODUCT(SEMANAL!$B30,N$134)/1000</f>
        <v>0.5</v>
      </c>
      <c r="O141" s="60">
        <f>SUM('OC SECOS y LAC AZUL 2'!B22:N22)</f>
        <v>21</v>
      </c>
      <c r="P141" s="55">
        <v>8692</v>
      </c>
      <c r="Q141" s="33">
        <f t="shared" si="5"/>
        <v>182532</v>
      </c>
      <c r="R141" s="10"/>
      <c r="S141" s="10"/>
      <c r="T141" s="1"/>
      <c r="U141" s="1"/>
      <c r="V141" s="1"/>
      <c r="W141" s="1"/>
      <c r="X141" s="1"/>
    </row>
    <row r="142" spans="1:28" ht="14.25" customHeight="1">
      <c r="A142" s="22" t="s">
        <v>99</v>
      </c>
      <c r="B142" s="59">
        <f>PRODUCT(SEMANAL!$D31,B$133)/900+PRODUCT(SEMANAL!$B31,B$134)/900</f>
        <v>1.5666666666666667</v>
      </c>
      <c r="C142" s="59">
        <f>PRODUCT(SEMANAL!$D31,C$133)/900+PRODUCT(SEMANAL!$B31,C$134)/900</f>
        <v>0</v>
      </c>
      <c r="D142" s="59">
        <f>PRODUCT(SEMANAL!$D31,D$133)/900+PRODUCT(SEMANAL!$B31,D$134)/900</f>
        <v>0.1</v>
      </c>
      <c r="E142" s="59">
        <f>PRODUCT(SEMANAL!$D31,E$133)/900+PRODUCT(SEMANAL!$B31,E$134)/900</f>
        <v>2.7333333333333334</v>
      </c>
      <c r="F142" s="59">
        <f>PRODUCT(SEMANAL!$D31,F$133)/900+PRODUCT(SEMANAL!$B31,F$134)/900</f>
        <v>0</v>
      </c>
      <c r="G142" s="59">
        <f>PRODUCT(SEMANAL!$D31,G$133)/900+PRODUCT(SEMANAL!$B31,G$134)/900</f>
        <v>0.46666666666666667</v>
      </c>
      <c r="H142" s="59">
        <f>PRODUCT(SEMANAL!$D31,H$133)/900+PRODUCT(SEMANAL!$B31,H$134)/900</f>
        <v>0</v>
      </c>
      <c r="I142" s="59">
        <f>PRODUCT(SEMANAL!$D31,I$133)/900+PRODUCT(SEMANAL!$B31,I$134)/900</f>
        <v>0</v>
      </c>
      <c r="J142" s="59">
        <f>PRODUCT(SEMANAL!$D31,J$133)/900+PRODUCT(SEMANAL!$B31,J$134)/900</f>
        <v>2.9</v>
      </c>
      <c r="K142" s="59">
        <f>PRODUCT(SEMANAL!$D31,K$133)/900+PRODUCT(SEMANAL!$B31,K$134)/900</f>
        <v>1.4333333333333333</v>
      </c>
      <c r="L142" s="59">
        <f>PRODUCT(SEMANAL!$D31,L$133)/900+PRODUCT(SEMANAL!$B31,L$134)/900</f>
        <v>1.8666666666666667</v>
      </c>
      <c r="M142" s="59">
        <f>PRODUCT(SEMANAL!$D31,M$133)/900+PRODUCT(SEMANAL!$B31,M$134)/900</f>
        <v>0</v>
      </c>
      <c r="N142" s="59">
        <f>PRODUCT(SEMANAL!$D31,N$133)/900+PRODUCT(SEMANAL!$B31,N$134)/900</f>
        <v>0.33333333333333331</v>
      </c>
      <c r="O142" s="60">
        <f>SUM('OC SECOS y LAC AZUL 2'!B23:N23)</f>
        <v>9</v>
      </c>
      <c r="P142" s="55">
        <v>2365</v>
      </c>
      <c r="Q142" s="33">
        <f t="shared" si="5"/>
        <v>21285</v>
      </c>
      <c r="R142" s="35"/>
      <c r="S142" s="35"/>
      <c r="T142" s="1"/>
      <c r="U142" s="1"/>
      <c r="V142" s="1"/>
      <c r="W142" s="1"/>
      <c r="X142" s="1"/>
    </row>
    <row r="143" spans="1:28" ht="14.25" customHeight="1">
      <c r="A143" s="22" t="s">
        <v>100</v>
      </c>
      <c r="B143" s="59">
        <f>PRODUCT(SEMANAL!$D32,B$133)/1000+PRODUCT(SEMANAL!$B32,B$134)/1000</f>
        <v>3.76</v>
      </c>
      <c r="C143" s="59">
        <f>PRODUCT(SEMANAL!$D32,C$133)/1000+PRODUCT(SEMANAL!$B32,C$134)/1000</f>
        <v>0</v>
      </c>
      <c r="D143" s="59">
        <f>PRODUCT(SEMANAL!$D32,D$133)/1000+PRODUCT(SEMANAL!$B32,D$134)/1000</f>
        <v>0.24</v>
      </c>
      <c r="E143" s="59">
        <f>PRODUCT(SEMANAL!$D32,E$133)/1000+PRODUCT(SEMANAL!$B32,E$134)/1000</f>
        <v>6.56</v>
      </c>
      <c r="F143" s="59">
        <f>PRODUCT(SEMANAL!$D32,F$133)/1000+PRODUCT(SEMANAL!$B32,F$134)/1000</f>
        <v>0</v>
      </c>
      <c r="G143" s="59">
        <f>PRODUCT(SEMANAL!$D32,G$133)/1000+PRODUCT(SEMANAL!$B32,G$134)/1000</f>
        <v>1.1200000000000001</v>
      </c>
      <c r="H143" s="59">
        <f>PRODUCT(SEMANAL!$D32,H$133)/1000+PRODUCT(SEMANAL!$B32,H$134)/1000</f>
        <v>0</v>
      </c>
      <c r="I143" s="59">
        <f>PRODUCT(SEMANAL!$D32,I$133)/1000+PRODUCT(SEMANAL!$B32,I$134)/1000</f>
        <v>0</v>
      </c>
      <c r="J143" s="59">
        <f>PRODUCT(SEMANAL!$D32,J$133)/1000+PRODUCT(SEMANAL!$B32,J$134)/1000</f>
        <v>6.96</v>
      </c>
      <c r="K143" s="59">
        <f>PRODUCT(SEMANAL!$D32,K$133)/1000+PRODUCT(SEMANAL!$B32,K$134)/1000</f>
        <v>3.44</v>
      </c>
      <c r="L143" s="59">
        <f>PRODUCT(SEMANAL!$D32,L$133)/1000+PRODUCT(SEMANAL!$B32,L$134)/1000</f>
        <v>4.4800000000000004</v>
      </c>
      <c r="M143" s="59">
        <f>PRODUCT(SEMANAL!$D32,M$133)/1000+PRODUCT(SEMANAL!$B32,M$134)/1000</f>
        <v>0</v>
      </c>
      <c r="N143" s="59">
        <f>PRODUCT(SEMANAL!$D32,N$133)/1000+PRODUCT(SEMANAL!$B32,N$134)/1000</f>
        <v>0.8</v>
      </c>
      <c r="O143" s="60">
        <f>SUM('OC SECOS y LAC AZUL 2'!B24:N24)</f>
        <v>16</v>
      </c>
      <c r="P143" s="55">
        <v>949</v>
      </c>
      <c r="Q143" s="33">
        <f t="shared" si="5"/>
        <v>15184</v>
      </c>
      <c r="R143" s="35"/>
      <c r="S143" s="35"/>
      <c r="T143" s="1"/>
      <c r="U143" s="1"/>
      <c r="V143" s="1"/>
      <c r="W143" s="1"/>
      <c r="X143" s="1"/>
    </row>
    <row r="144" spans="1:28" ht="14.25" customHeight="1">
      <c r="A144" s="22" t="s">
        <v>101</v>
      </c>
      <c r="B144" s="59">
        <f>PRODUCT(SEMANAL!$D33,B$133)/340+PRODUCT(SEMANAL!$B33,B$134)/340</f>
        <v>0</v>
      </c>
      <c r="C144" s="59">
        <f>PRODUCT(SEMANAL!$D33,C$133)/340+PRODUCT(SEMANAL!$B33,C$134)/340</f>
        <v>0</v>
      </c>
      <c r="D144" s="59">
        <f>PRODUCT(SEMANAL!$D33,D$133)/340+PRODUCT(SEMANAL!$B33,D$134)/340</f>
        <v>0</v>
      </c>
      <c r="E144" s="59">
        <f>PRODUCT(SEMANAL!$D33,E$133)/340+PRODUCT(SEMANAL!$B33,E$134)/340</f>
        <v>0</v>
      </c>
      <c r="F144" s="59">
        <f>PRODUCT(SEMANAL!$D33,F$133)/340+PRODUCT(SEMANAL!$B33,F$134)/340</f>
        <v>0</v>
      </c>
      <c r="G144" s="59">
        <f>PRODUCT(SEMANAL!$D33,G$133)/340+PRODUCT(SEMANAL!$B33,G$134)/340</f>
        <v>0</v>
      </c>
      <c r="H144" s="59">
        <f>PRODUCT(SEMANAL!$D33,H$133)/340+PRODUCT(SEMANAL!$B33,H$134)/340</f>
        <v>0</v>
      </c>
      <c r="I144" s="59">
        <f>PRODUCT(SEMANAL!$D33,I$133)/340+PRODUCT(SEMANAL!$B33,I$134)/340</f>
        <v>0</v>
      </c>
      <c r="J144" s="59">
        <f>PRODUCT(SEMANAL!$D33,J$133)/340+PRODUCT(SEMANAL!$B33,J$134)/340</f>
        <v>0</v>
      </c>
      <c r="K144" s="59">
        <f>PRODUCT(SEMANAL!$D33,K$133)/340+PRODUCT(SEMANAL!$B33,K$134)/340</f>
        <v>0</v>
      </c>
      <c r="L144" s="59">
        <f>PRODUCT(SEMANAL!$D33,L$133)/340+PRODUCT(SEMANAL!$B33,L$134)/340</f>
        <v>0</v>
      </c>
      <c r="M144" s="59">
        <f>PRODUCT(SEMANAL!$D33,M$133)/340+PRODUCT(SEMANAL!$B33,M$134)/340</f>
        <v>0</v>
      </c>
      <c r="N144" s="59">
        <f>PRODUCT(SEMANAL!$D33,N$133)/340+PRODUCT(SEMANAL!$B33,N$134)/340</f>
        <v>0</v>
      </c>
      <c r="O144" s="60">
        <f>SUM('OC SECOS y LAC AZUL 2'!B25:N25)</f>
        <v>0</v>
      </c>
      <c r="P144" s="55">
        <v>518</v>
      </c>
      <c r="Q144" s="33">
        <f t="shared" si="5"/>
        <v>0</v>
      </c>
      <c r="R144" s="35"/>
      <c r="S144" s="35"/>
      <c r="T144" s="1"/>
      <c r="U144" s="1"/>
      <c r="V144" s="1"/>
      <c r="W144" s="1"/>
      <c r="X144" s="1"/>
    </row>
    <row r="145" spans="1:24" ht="14.25" customHeight="1">
      <c r="A145" s="22" t="s">
        <v>102</v>
      </c>
      <c r="B145" s="59">
        <f>PRODUCT(SEMANAL!$D34,B$133)/350+PRODUCT(SEMANAL!$B34,B$134)/350</f>
        <v>5.371428571428571</v>
      </c>
      <c r="C145" s="59">
        <f>PRODUCT(SEMANAL!$D34,C$133)/350+PRODUCT(SEMANAL!$B34,C$134)/350</f>
        <v>0</v>
      </c>
      <c r="D145" s="59">
        <f>PRODUCT(SEMANAL!$D34,D$133)/350+PRODUCT(SEMANAL!$B34,D$134)/350</f>
        <v>0.34285714285714286</v>
      </c>
      <c r="E145" s="59">
        <f>PRODUCT(SEMANAL!$D34,E$133)/350+PRODUCT(SEMANAL!$B34,E$134)/350</f>
        <v>9.3714285714285719</v>
      </c>
      <c r="F145" s="59">
        <f>PRODUCT(SEMANAL!$D34,F$133)/350+PRODUCT(SEMANAL!$B34,F$134)/350</f>
        <v>0</v>
      </c>
      <c r="G145" s="59">
        <f>PRODUCT(SEMANAL!$D34,G$133)/350+PRODUCT(SEMANAL!$B34,G$134)/350</f>
        <v>1.6</v>
      </c>
      <c r="H145" s="59">
        <f>PRODUCT(SEMANAL!$D34,H$133)/350+PRODUCT(SEMANAL!$B34,H$134)/350</f>
        <v>0</v>
      </c>
      <c r="I145" s="59">
        <f>PRODUCT(SEMANAL!$D34,I$133)/350+PRODUCT(SEMANAL!$B34,I$134)/350</f>
        <v>0</v>
      </c>
      <c r="J145" s="59">
        <f>PRODUCT(SEMANAL!$D34,J$133)/350+PRODUCT(SEMANAL!$B34,J$134)/350</f>
        <v>9.9428571428571431</v>
      </c>
      <c r="K145" s="59">
        <f>PRODUCT(SEMANAL!$D34,K$133)/350+PRODUCT(SEMANAL!$B34,K$134)/350</f>
        <v>4.9142857142857146</v>
      </c>
      <c r="L145" s="59">
        <f>PRODUCT(SEMANAL!$D34,L$133)/350+PRODUCT(SEMANAL!$B34,L$134)/350</f>
        <v>6.4</v>
      </c>
      <c r="M145" s="59">
        <f>PRODUCT(SEMANAL!$D34,M$133)/350+PRODUCT(SEMANAL!$B34,M$134)/350</f>
        <v>0</v>
      </c>
      <c r="N145" s="59">
        <f>PRODUCT(SEMANAL!$D34,N$133)/350+PRODUCT(SEMANAL!$B34,N$134)/350</f>
        <v>1.1428571428571428</v>
      </c>
      <c r="O145" s="60">
        <f>SUM('OC SECOS y LAC AZUL 2'!B26:N26)</f>
        <v>41</v>
      </c>
      <c r="P145" s="55">
        <v>736</v>
      </c>
      <c r="Q145" s="33">
        <f t="shared" si="5"/>
        <v>30176</v>
      </c>
      <c r="R145" s="35"/>
      <c r="S145" s="35"/>
      <c r="T145" s="1"/>
      <c r="U145" s="1"/>
      <c r="V145" s="1"/>
      <c r="W145" s="1"/>
      <c r="X145" s="1"/>
    </row>
    <row r="146" spans="1:24" ht="14.25" customHeight="1">
      <c r="A146" s="22" t="s">
        <v>103</v>
      </c>
      <c r="B146" s="59">
        <f>PRODUCT(SEMANAL!$D35,B$133)/25+PRODUCT(SEMANAL!$B35,B$134)/25</f>
        <v>0</v>
      </c>
      <c r="C146" s="59">
        <f>PRODUCT(SEMANAL!$D35,C$133)/25+PRODUCT(SEMANAL!$B35,C$134)/25</f>
        <v>0</v>
      </c>
      <c r="D146" s="59">
        <f>PRODUCT(SEMANAL!$D35,D$133)/25+PRODUCT(SEMANAL!$B35,D$134)/25</f>
        <v>0</v>
      </c>
      <c r="E146" s="59">
        <f>PRODUCT(SEMANAL!$D35,E$133)/25+PRODUCT(SEMANAL!$B35,E$134)/25</f>
        <v>0</v>
      </c>
      <c r="F146" s="59">
        <f>PRODUCT(SEMANAL!$D35,F$133)/25+PRODUCT(SEMANAL!$B35,F$134)/25</f>
        <v>0</v>
      </c>
      <c r="G146" s="59">
        <f>PRODUCT(SEMANAL!$D35,G$133)/25+PRODUCT(SEMANAL!$B35,G$134)/25</f>
        <v>0</v>
      </c>
      <c r="H146" s="59">
        <f>PRODUCT(SEMANAL!$D35,H$133)/25+PRODUCT(SEMANAL!$B35,H$134)/25</f>
        <v>0</v>
      </c>
      <c r="I146" s="59">
        <f>PRODUCT(SEMANAL!$D35,I$133)/25+PRODUCT(SEMANAL!$B35,I$134)/25</f>
        <v>0</v>
      </c>
      <c r="J146" s="59">
        <f>PRODUCT(SEMANAL!$D35,J$133)/25+PRODUCT(SEMANAL!$B35,J$134)/25</f>
        <v>0</v>
      </c>
      <c r="K146" s="59">
        <f>PRODUCT(SEMANAL!$D35,K$133)/25+PRODUCT(SEMANAL!$B35,K$134)/25</f>
        <v>0</v>
      </c>
      <c r="L146" s="59">
        <f>PRODUCT(SEMANAL!$D35,L$133)/25+PRODUCT(SEMANAL!$B35,L$134)/25</f>
        <v>0</v>
      </c>
      <c r="M146" s="59">
        <f>PRODUCT(SEMANAL!$D35,M$133)/25+PRODUCT(SEMANAL!$B35,M$134)/25</f>
        <v>0</v>
      </c>
      <c r="N146" s="59">
        <f>PRODUCT(SEMANAL!$D35,N$133)/25+PRODUCT(SEMANAL!$B35,N$134)/25</f>
        <v>0</v>
      </c>
      <c r="O146" s="60">
        <f>SUM('OC SECOS y LAC AZUL 2'!B27:N27)</f>
        <v>0</v>
      </c>
      <c r="P146" s="55">
        <v>919</v>
      </c>
      <c r="Q146" s="33">
        <f t="shared" si="5"/>
        <v>0</v>
      </c>
      <c r="R146" s="20"/>
      <c r="S146" s="20"/>
      <c r="T146" s="1"/>
      <c r="U146" s="1"/>
      <c r="V146" s="1"/>
      <c r="W146" s="1"/>
      <c r="X146" s="1"/>
    </row>
    <row r="147" spans="1:24" ht="14.25" customHeight="1">
      <c r="A147" s="22" t="s">
        <v>104</v>
      </c>
      <c r="B147" s="59">
        <f>PRODUCT(SEMANAL!$D36,B$133)/25+PRODUCT(SEMANAL!$B36,B$134)/25</f>
        <v>0</v>
      </c>
      <c r="C147" s="59">
        <f>PRODUCT(SEMANAL!$D36,C$133)/25+PRODUCT(SEMANAL!$B36,C$134)/25</f>
        <v>0</v>
      </c>
      <c r="D147" s="59">
        <f>PRODUCT(SEMANAL!$D36,D$133)/25+PRODUCT(SEMANAL!$B36,D$134)/25</f>
        <v>0</v>
      </c>
      <c r="E147" s="59">
        <f>PRODUCT(SEMANAL!$D36,E$133)/25+PRODUCT(SEMANAL!$B36,E$134)/25</f>
        <v>0</v>
      </c>
      <c r="F147" s="59">
        <f>PRODUCT(SEMANAL!$D36,F$133)/25+PRODUCT(SEMANAL!$B36,F$134)/25</f>
        <v>0</v>
      </c>
      <c r="G147" s="59">
        <f>PRODUCT(SEMANAL!$D36,G$133)/25+PRODUCT(SEMANAL!$B36,G$134)/25</f>
        <v>0</v>
      </c>
      <c r="H147" s="59">
        <f>PRODUCT(SEMANAL!$D36,H$133)/25+PRODUCT(SEMANAL!$B36,H$134)/25</f>
        <v>0</v>
      </c>
      <c r="I147" s="59">
        <f>PRODUCT(SEMANAL!$D36,I$133)/25+PRODUCT(SEMANAL!$B36,I$134)/25</f>
        <v>0</v>
      </c>
      <c r="J147" s="59">
        <f>PRODUCT(SEMANAL!$D36,J$133)/25+PRODUCT(SEMANAL!$B36,J$134)/25</f>
        <v>0</v>
      </c>
      <c r="K147" s="59">
        <f>PRODUCT(SEMANAL!$D36,K$133)/25+PRODUCT(SEMANAL!$B36,K$134)/25</f>
        <v>0</v>
      </c>
      <c r="L147" s="59">
        <f>PRODUCT(SEMANAL!$D36,L$133)/25+PRODUCT(SEMANAL!$B36,L$134)/25</f>
        <v>0</v>
      </c>
      <c r="M147" s="59">
        <f>PRODUCT(SEMANAL!$D36,M$133)/25+PRODUCT(SEMANAL!$B36,M$134)/25</f>
        <v>0</v>
      </c>
      <c r="N147" s="59">
        <f>PRODUCT(SEMANAL!$D36,N$133)/25+PRODUCT(SEMANAL!$B36,N$134)/25</f>
        <v>0</v>
      </c>
      <c r="O147" s="60">
        <f>SUM('OC SECOS y LAC AZUL 2'!B28:N28)</f>
        <v>0</v>
      </c>
      <c r="P147" s="55">
        <v>919</v>
      </c>
      <c r="Q147" s="33">
        <f t="shared" si="5"/>
        <v>0</v>
      </c>
      <c r="R147" s="20"/>
      <c r="S147" s="20"/>
      <c r="T147" s="1"/>
      <c r="U147" s="1"/>
      <c r="V147" s="1"/>
      <c r="W147" s="1"/>
      <c r="X147" s="1"/>
    </row>
    <row r="148" spans="1:24" ht="14.25" customHeight="1">
      <c r="A148" s="22" t="s">
        <v>105</v>
      </c>
      <c r="B148" s="59">
        <f>PRODUCT(SEMANAL!$D37,B$133)/25+PRODUCT(SEMANAL!$B37,B$134)/25</f>
        <v>2.82</v>
      </c>
      <c r="C148" s="59">
        <f>PRODUCT(SEMANAL!$D37,C$133)/25+PRODUCT(SEMANAL!$B37,C$134)/25</f>
        <v>0</v>
      </c>
      <c r="D148" s="59">
        <f>PRODUCT(SEMANAL!$D37,D$133)/25+PRODUCT(SEMANAL!$B37,D$134)/25</f>
        <v>0.18</v>
      </c>
      <c r="E148" s="59">
        <f>PRODUCT(SEMANAL!$D37,E$133)/25+PRODUCT(SEMANAL!$B37,E$134)/25</f>
        <v>4.92</v>
      </c>
      <c r="F148" s="59">
        <f>PRODUCT(SEMANAL!$D37,F$133)/25+PRODUCT(SEMANAL!$B37,F$134)/25</f>
        <v>0</v>
      </c>
      <c r="G148" s="59">
        <f>PRODUCT(SEMANAL!$D37,G$133)/25+PRODUCT(SEMANAL!$B37,G$134)/25</f>
        <v>0.84</v>
      </c>
      <c r="H148" s="59">
        <f>PRODUCT(SEMANAL!$D37,H$133)/25+PRODUCT(SEMANAL!$B37,H$134)/25</f>
        <v>0</v>
      </c>
      <c r="I148" s="59">
        <f>PRODUCT(SEMANAL!$D37,I$133)/25+PRODUCT(SEMANAL!$B37,I$134)/25</f>
        <v>0</v>
      </c>
      <c r="J148" s="59">
        <f>PRODUCT(SEMANAL!$D37,J$133)/25+PRODUCT(SEMANAL!$B37,J$134)/25</f>
        <v>5.22</v>
      </c>
      <c r="K148" s="59">
        <f>PRODUCT(SEMANAL!$D37,K$133)/25+PRODUCT(SEMANAL!$B37,K$134)/25</f>
        <v>2.58</v>
      </c>
      <c r="L148" s="59">
        <f>PRODUCT(SEMANAL!$D37,L$133)/25+PRODUCT(SEMANAL!$B37,L$134)/25</f>
        <v>3.36</v>
      </c>
      <c r="M148" s="59">
        <f>PRODUCT(SEMANAL!$D37,M$133)/25+PRODUCT(SEMANAL!$B37,M$134)/25</f>
        <v>0</v>
      </c>
      <c r="N148" s="59">
        <f>PRODUCT(SEMANAL!$D37,N$133)/25+PRODUCT(SEMANAL!$B37,N$134)/25</f>
        <v>0.6</v>
      </c>
      <c r="O148" s="60">
        <f>SUM('OC SECOS y LAC AZUL 2'!B29:N29)</f>
        <v>9</v>
      </c>
      <c r="P148" s="55">
        <v>919</v>
      </c>
      <c r="Q148" s="33">
        <f t="shared" si="5"/>
        <v>8271</v>
      </c>
      <c r="R148" s="10"/>
      <c r="S148" s="10"/>
      <c r="T148" s="1"/>
      <c r="U148" s="1"/>
      <c r="V148" s="1"/>
      <c r="W148" s="1"/>
      <c r="X148" s="1"/>
    </row>
    <row r="149" spans="1:24" ht="14.25" customHeight="1">
      <c r="A149" s="22" t="s">
        <v>106</v>
      </c>
      <c r="B149" s="59">
        <f>PRODUCT(SEMANAL!$D38,B$133)/500+PRODUCT(SEMANAL!$B38,B$134)/500</f>
        <v>0.14099999999999999</v>
      </c>
      <c r="C149" s="59">
        <f>PRODUCT(SEMANAL!$D38,C$133)/500+PRODUCT(SEMANAL!$B38,C$134)/500</f>
        <v>0</v>
      </c>
      <c r="D149" s="59">
        <f>PRODUCT(SEMANAL!$D38,D$133)/500+PRODUCT(SEMANAL!$B38,D$134)/500</f>
        <v>8.9999999999999993E-3</v>
      </c>
      <c r="E149" s="59">
        <f>PRODUCT(SEMANAL!$D38,E$133)/500+PRODUCT(SEMANAL!$B38,E$134)/500</f>
        <v>0.246</v>
      </c>
      <c r="F149" s="59">
        <f>PRODUCT(SEMANAL!$D38,F$133)/500+PRODUCT(SEMANAL!$B38,F$134)/500</f>
        <v>0</v>
      </c>
      <c r="G149" s="59">
        <f>PRODUCT(SEMANAL!$D38,G$133)/500+PRODUCT(SEMANAL!$B38,G$134)/500</f>
        <v>4.2000000000000003E-2</v>
      </c>
      <c r="H149" s="59">
        <f>PRODUCT(SEMANAL!$D38,H$133)/500+PRODUCT(SEMANAL!$B38,H$134)/500</f>
        <v>0</v>
      </c>
      <c r="I149" s="59">
        <f>PRODUCT(SEMANAL!$D38,I$133)/500+PRODUCT(SEMANAL!$B38,I$134)/500</f>
        <v>0</v>
      </c>
      <c r="J149" s="59">
        <f>PRODUCT(SEMANAL!$D38,J$133)/500+PRODUCT(SEMANAL!$B38,J$134)/500</f>
        <v>0.26100000000000001</v>
      </c>
      <c r="K149" s="59">
        <f>PRODUCT(SEMANAL!$D38,K$133)/500+PRODUCT(SEMANAL!$B38,K$134)/500</f>
        <v>0.129</v>
      </c>
      <c r="L149" s="59">
        <f>PRODUCT(SEMANAL!$D38,L$133)/500+PRODUCT(SEMANAL!$B38,L$134)/500</f>
        <v>0.16800000000000001</v>
      </c>
      <c r="M149" s="59">
        <f>PRODUCT(SEMANAL!$D38,M$133)/500+PRODUCT(SEMANAL!$B38,M$134)/500</f>
        <v>0</v>
      </c>
      <c r="N149" s="59">
        <f>PRODUCT(SEMANAL!$D38,N$133)/500+PRODUCT(SEMANAL!$B38,N$134)/500</f>
        <v>0.03</v>
      </c>
      <c r="O149" s="60">
        <f>SUM('OC SECOS y LAC AZUL 2'!B30:N30)</f>
        <v>6</v>
      </c>
      <c r="P149" s="55">
        <v>650</v>
      </c>
      <c r="Q149" s="33">
        <f t="shared" si="5"/>
        <v>3900</v>
      </c>
      <c r="R149" s="35"/>
      <c r="S149" s="35"/>
      <c r="T149" s="1"/>
      <c r="U149" s="1"/>
      <c r="V149" s="1"/>
      <c r="W149" s="1"/>
      <c r="X149" s="1"/>
    </row>
    <row r="150" spans="1:24" ht="14.25" customHeight="1">
      <c r="A150" s="22" t="s">
        <v>107</v>
      </c>
      <c r="B150" s="59">
        <f>PRODUCT(SEMANAL!$D39,B$133)/500+PRODUCT(SEMANAL!$B39,B$134)/500</f>
        <v>6.58</v>
      </c>
      <c r="C150" s="59">
        <f>PRODUCT(SEMANAL!$D39,C$133)/500+PRODUCT(SEMANAL!$B39,C$134)/500</f>
        <v>0</v>
      </c>
      <c r="D150" s="59">
        <f>PRODUCT(SEMANAL!$D39,D$133)/500+PRODUCT(SEMANAL!$B39,D$134)/500</f>
        <v>0.42</v>
      </c>
      <c r="E150" s="59">
        <f>PRODUCT(SEMANAL!$D39,E$133)/500+PRODUCT(SEMANAL!$B39,E$134)/500</f>
        <v>11.48</v>
      </c>
      <c r="F150" s="59">
        <f>PRODUCT(SEMANAL!$D39,F$133)/500+PRODUCT(SEMANAL!$B39,F$134)/500</f>
        <v>0</v>
      </c>
      <c r="G150" s="59">
        <f>PRODUCT(SEMANAL!$D39,G$133)/500+PRODUCT(SEMANAL!$B39,G$134)/500</f>
        <v>1.96</v>
      </c>
      <c r="H150" s="59">
        <f>PRODUCT(SEMANAL!$D39,H$133)/500+PRODUCT(SEMANAL!$B39,H$134)/500</f>
        <v>0</v>
      </c>
      <c r="I150" s="59">
        <f>PRODUCT(SEMANAL!$D39,I$133)/500+PRODUCT(SEMANAL!$B39,I$134)/500</f>
        <v>0</v>
      </c>
      <c r="J150" s="59">
        <f>PRODUCT(SEMANAL!$D39,J$133)/500+PRODUCT(SEMANAL!$B39,J$134)/500</f>
        <v>12.18</v>
      </c>
      <c r="K150" s="59">
        <f>PRODUCT(SEMANAL!$D39,K$133)/500+PRODUCT(SEMANAL!$B39,K$134)/500</f>
        <v>6.02</v>
      </c>
      <c r="L150" s="59">
        <f>PRODUCT(SEMANAL!$D39,L$133)/500+PRODUCT(SEMANAL!$B39,L$134)/500</f>
        <v>7.84</v>
      </c>
      <c r="M150" s="59">
        <f>PRODUCT(SEMANAL!$D39,M$133)/500+PRODUCT(SEMANAL!$B39,M$134)/500</f>
        <v>0</v>
      </c>
      <c r="N150" s="59">
        <f>PRODUCT(SEMANAL!$D39,N$133)/500+PRODUCT(SEMANAL!$B39,N$134)/500</f>
        <v>1.4</v>
      </c>
      <c r="O150" s="60">
        <f>SUM('OC SECOS y LAC AZUL 2'!B31:N31)</f>
        <v>29</v>
      </c>
      <c r="P150" s="55">
        <v>540</v>
      </c>
      <c r="Q150" s="33">
        <f t="shared" si="5"/>
        <v>15660</v>
      </c>
      <c r="R150" s="1"/>
      <c r="S150" s="1"/>
      <c r="T150" s="1"/>
      <c r="U150" s="1"/>
      <c r="V150" s="1"/>
      <c r="W150" s="1"/>
      <c r="X150" s="1"/>
    </row>
    <row r="151" spans="1:24" ht="14.25" customHeight="1">
      <c r="A151" s="22" t="s">
        <v>108</v>
      </c>
      <c r="B151" s="59">
        <f>PRODUCT(SEMANAL!$D40,B$133)/500+PRODUCT(SEMANAL!$B40,B$134)/500</f>
        <v>4.2300000000000004</v>
      </c>
      <c r="C151" s="59">
        <f>PRODUCT(SEMANAL!$D40,C$133)/500+PRODUCT(SEMANAL!$B40,C$134)/500</f>
        <v>0</v>
      </c>
      <c r="D151" s="59">
        <f>PRODUCT(SEMANAL!$D40,D$133)/500+PRODUCT(SEMANAL!$B40,D$134)/500</f>
        <v>0.27</v>
      </c>
      <c r="E151" s="59">
        <f>PRODUCT(SEMANAL!$D40,E$133)/500+PRODUCT(SEMANAL!$B40,E$134)/500</f>
        <v>7.38</v>
      </c>
      <c r="F151" s="59">
        <f>PRODUCT(SEMANAL!$D40,F$133)/500+PRODUCT(SEMANAL!$B40,F$134)/500</f>
        <v>0</v>
      </c>
      <c r="G151" s="59">
        <f>PRODUCT(SEMANAL!$D40,G$133)/500+PRODUCT(SEMANAL!$B40,G$134)/500</f>
        <v>1.26</v>
      </c>
      <c r="H151" s="59">
        <f>PRODUCT(SEMANAL!$D40,H$133)/500+PRODUCT(SEMANAL!$B40,H$134)/500</f>
        <v>0</v>
      </c>
      <c r="I151" s="59">
        <f>PRODUCT(SEMANAL!$D40,I$133)/500+PRODUCT(SEMANAL!$B40,I$134)/500</f>
        <v>0</v>
      </c>
      <c r="J151" s="59">
        <f>PRODUCT(SEMANAL!$D40,J$133)/500+PRODUCT(SEMANAL!$B40,J$134)/500</f>
        <v>7.83</v>
      </c>
      <c r="K151" s="59">
        <f>PRODUCT(SEMANAL!$D40,K$133)/500+PRODUCT(SEMANAL!$B40,K$134)/500</f>
        <v>3.87</v>
      </c>
      <c r="L151" s="59">
        <f>PRODUCT(SEMANAL!$D40,L$133)/500+PRODUCT(SEMANAL!$B40,L$134)/500</f>
        <v>5.04</v>
      </c>
      <c r="M151" s="59">
        <f>PRODUCT(SEMANAL!$D40,M$133)/500+PRODUCT(SEMANAL!$B40,M$134)/500</f>
        <v>0</v>
      </c>
      <c r="N151" s="59">
        <f>PRODUCT(SEMANAL!$D40,N$133)/500+PRODUCT(SEMANAL!$B40,N$134)/500</f>
        <v>0.9</v>
      </c>
      <c r="O151" s="60">
        <f>SUM('OC SECOS y LAC AZUL 2'!B32:N32)</f>
        <v>35</v>
      </c>
      <c r="P151" s="55">
        <v>806</v>
      </c>
      <c r="Q151" s="33">
        <f t="shared" si="5"/>
        <v>28210</v>
      </c>
      <c r="R151" s="1"/>
      <c r="S151" s="1"/>
      <c r="T151" s="1"/>
      <c r="U151" s="1"/>
      <c r="V151" s="1"/>
      <c r="W151" s="1"/>
      <c r="X151" s="1"/>
    </row>
    <row r="152" spans="1:24" ht="14.25" customHeight="1">
      <c r="A152" s="61" t="s">
        <v>109</v>
      </c>
      <c r="B152" s="59">
        <f>PRODUCT(SEMANAL!$D41,B$133)/1000+PRODUCT(SEMANAL!$B41,B$134)/1000</f>
        <v>1.645</v>
      </c>
      <c r="C152" s="59">
        <f>PRODUCT(SEMANAL!$D41,C$133)/1000+PRODUCT(SEMANAL!$B41,C$134)/1000</f>
        <v>0</v>
      </c>
      <c r="D152" s="59">
        <f>PRODUCT(SEMANAL!$D41,D$133)/1000+PRODUCT(SEMANAL!$B41,D$134)/1000</f>
        <v>0.105</v>
      </c>
      <c r="E152" s="59">
        <f>PRODUCT(SEMANAL!$D41,E$133)/1000+PRODUCT(SEMANAL!$B41,E$134)/1000</f>
        <v>2.87</v>
      </c>
      <c r="F152" s="59">
        <f>PRODUCT(SEMANAL!$D41,F$133)/1000+PRODUCT(SEMANAL!$B41,F$134)/1000</f>
        <v>0</v>
      </c>
      <c r="G152" s="59">
        <f>PRODUCT(SEMANAL!$D41,G$133)/1000+PRODUCT(SEMANAL!$B41,G$134)/1000</f>
        <v>0.49</v>
      </c>
      <c r="H152" s="59">
        <f>PRODUCT(SEMANAL!$D41,H$133)/1000+PRODUCT(SEMANAL!$B41,H$134)/1000</f>
        <v>0</v>
      </c>
      <c r="I152" s="59">
        <f>PRODUCT(SEMANAL!$D41,I$133)/1000+PRODUCT(SEMANAL!$B41,I$134)/1000</f>
        <v>0</v>
      </c>
      <c r="J152" s="59">
        <f>PRODUCT(SEMANAL!$D41,J$133)/1000+PRODUCT(SEMANAL!$B41,J$134)/1000</f>
        <v>3.0449999999999999</v>
      </c>
      <c r="K152" s="59">
        <f>PRODUCT(SEMANAL!$D41,K$133)/1000+PRODUCT(SEMANAL!$B41,K$134)/1000</f>
        <v>1.5049999999999999</v>
      </c>
      <c r="L152" s="59">
        <f>PRODUCT(SEMANAL!$D41,L$133)/1000+PRODUCT(SEMANAL!$B41,L$134)/1000</f>
        <v>1.96</v>
      </c>
      <c r="M152" s="59">
        <f>PRODUCT(SEMANAL!$D41,M$133)/1000+PRODUCT(SEMANAL!$B41,M$134)/1000</f>
        <v>0</v>
      </c>
      <c r="N152" s="59">
        <f>PRODUCT(SEMANAL!$D41,N$133)/1000+PRODUCT(SEMANAL!$B41,N$134)/1000</f>
        <v>0.35</v>
      </c>
      <c r="O152" s="60">
        <f>SUM('OC SECOS y LAC AZUL 2'!B33:N33)</f>
        <v>11</v>
      </c>
      <c r="P152" s="55">
        <v>2451</v>
      </c>
      <c r="Q152" s="33">
        <f t="shared" si="5"/>
        <v>26961</v>
      </c>
      <c r="R152" s="1"/>
      <c r="S152" s="1"/>
      <c r="T152" s="1"/>
      <c r="U152" s="1"/>
      <c r="V152" s="1"/>
      <c r="W152" s="1"/>
      <c r="X152" s="1"/>
    </row>
    <row r="153" spans="1:24" ht="14.25" customHeight="1">
      <c r="A153" s="61" t="s">
        <v>110</v>
      </c>
      <c r="B153" s="59">
        <f>PRODUCT(SEMANAL!$D42,B$133)/500+PRODUCT(SEMANAL!$B42,B$134)/500</f>
        <v>0.28199999999999997</v>
      </c>
      <c r="C153" s="59">
        <f>PRODUCT(SEMANAL!$D42,C$133)/500+PRODUCT(SEMANAL!$B42,C$134)/500</f>
        <v>0</v>
      </c>
      <c r="D153" s="59">
        <f>PRODUCT(SEMANAL!$D42,D$133)/500+PRODUCT(SEMANAL!$B42,D$134)/500</f>
        <v>1.7999999999999999E-2</v>
      </c>
      <c r="E153" s="59">
        <f>PRODUCT(SEMANAL!$D42,E$133)/500+PRODUCT(SEMANAL!$B42,E$134)/500</f>
        <v>0.49199999999999999</v>
      </c>
      <c r="F153" s="59">
        <f>PRODUCT(SEMANAL!$D42,F$133)/500+PRODUCT(SEMANAL!$B42,F$134)/500</f>
        <v>0</v>
      </c>
      <c r="G153" s="59">
        <f>PRODUCT(SEMANAL!$D42,G$133)/500+PRODUCT(SEMANAL!$B42,G$134)/500</f>
        <v>8.4000000000000005E-2</v>
      </c>
      <c r="H153" s="59">
        <f>PRODUCT(SEMANAL!$D42,H$133)/500+PRODUCT(SEMANAL!$B42,H$134)/500</f>
        <v>0</v>
      </c>
      <c r="I153" s="59">
        <f>PRODUCT(SEMANAL!$D42,I$133)/500+PRODUCT(SEMANAL!$B42,I$134)/500</f>
        <v>0</v>
      </c>
      <c r="J153" s="59">
        <f>PRODUCT(SEMANAL!$D42,J$133)/500+PRODUCT(SEMANAL!$B42,J$134)/500</f>
        <v>0.52200000000000002</v>
      </c>
      <c r="K153" s="59">
        <f>PRODUCT(SEMANAL!$D42,K$133)/500+PRODUCT(SEMANAL!$B42,K$134)/500</f>
        <v>0.25800000000000001</v>
      </c>
      <c r="L153" s="59">
        <f>PRODUCT(SEMANAL!$D42,L$133)/500+PRODUCT(SEMANAL!$B42,L$134)/500</f>
        <v>0.33600000000000002</v>
      </c>
      <c r="M153" s="59">
        <f>PRODUCT(SEMANAL!$D42,M$133)/500+PRODUCT(SEMANAL!$B42,M$134)/500</f>
        <v>0</v>
      </c>
      <c r="N153" s="59">
        <f>PRODUCT(SEMANAL!$D42,N$133)/500+PRODUCT(SEMANAL!$B42,N$134)/500</f>
        <v>0.06</v>
      </c>
      <c r="O153" s="60">
        <f>SUM('OC SECOS y LAC AZUL 2'!B34:N34)</f>
        <v>4</v>
      </c>
      <c r="P153" s="55">
        <v>1869</v>
      </c>
      <c r="Q153" s="33">
        <f t="shared" si="5"/>
        <v>7476</v>
      </c>
      <c r="R153" s="1"/>
      <c r="S153" s="1"/>
      <c r="T153" s="1"/>
      <c r="U153" s="1"/>
      <c r="V153" s="1"/>
      <c r="W153" s="1"/>
      <c r="X153" s="1"/>
    </row>
    <row r="154" spans="1:24" ht="14.25" customHeight="1">
      <c r="A154" s="61" t="s">
        <v>111</v>
      </c>
      <c r="B154" s="59">
        <f>PRODUCT(SEMANAL!$D43,B$133)/100+PRODUCT(SEMANAL!$B43,B$134)/100</f>
        <v>0</v>
      </c>
      <c r="C154" s="59">
        <f>PRODUCT(SEMANAL!$D43,C$133)/100+PRODUCT(SEMANAL!$B43,C$134)/100</f>
        <v>0</v>
      </c>
      <c r="D154" s="59">
        <f>PRODUCT(SEMANAL!$D43,D$133)/100+PRODUCT(SEMANAL!$B43,D$134)/100</f>
        <v>0</v>
      </c>
      <c r="E154" s="59">
        <f>PRODUCT(SEMANAL!$D43,E$133)/100+PRODUCT(SEMANAL!$B43,E$134)/100</f>
        <v>0</v>
      </c>
      <c r="F154" s="59">
        <f>PRODUCT(SEMANAL!$D43,F$133)/100+PRODUCT(SEMANAL!$B43,F$134)/100</f>
        <v>0</v>
      </c>
      <c r="G154" s="59">
        <f>PRODUCT(SEMANAL!$D43,G$133)/100+PRODUCT(SEMANAL!$B43,G$134)/100</f>
        <v>0</v>
      </c>
      <c r="H154" s="59">
        <f>PRODUCT(SEMANAL!$D43,H$133)/100+PRODUCT(SEMANAL!$B43,H$134)/100</f>
        <v>0</v>
      </c>
      <c r="I154" s="59">
        <f>PRODUCT(SEMANAL!$D43,I$133)/100+PRODUCT(SEMANAL!$B43,I$134)/100</f>
        <v>0</v>
      </c>
      <c r="J154" s="59">
        <f>PRODUCT(SEMANAL!$D43,J$133)/100+PRODUCT(SEMANAL!$B43,J$134)/100</f>
        <v>0</v>
      </c>
      <c r="K154" s="59">
        <f>PRODUCT(SEMANAL!$D43,K$133)/100+PRODUCT(SEMANAL!$B43,K$134)/100</f>
        <v>0</v>
      </c>
      <c r="L154" s="59">
        <f>PRODUCT(SEMANAL!$D43,L$133)/100+PRODUCT(SEMANAL!$B43,L$134)/100</f>
        <v>0</v>
      </c>
      <c r="M154" s="59">
        <f>PRODUCT(SEMANAL!$D43,M$133)/100+PRODUCT(SEMANAL!$B43,M$134)/100</f>
        <v>0</v>
      </c>
      <c r="N154" s="59">
        <f>PRODUCT(SEMANAL!$D43,N$133)/100+PRODUCT(SEMANAL!$B43,N$134)/100</f>
        <v>0</v>
      </c>
      <c r="O154" s="60">
        <f>SUM('OC SECOS y LAC AZUL 2'!B35:N35)</f>
        <v>0</v>
      </c>
      <c r="P154" s="55">
        <v>1625</v>
      </c>
      <c r="Q154" s="33">
        <f t="shared" si="5"/>
        <v>0</v>
      </c>
      <c r="R154" s="1"/>
      <c r="S154" s="1"/>
      <c r="T154" s="1"/>
      <c r="U154" s="1"/>
      <c r="V154" s="1"/>
      <c r="W154" s="1"/>
      <c r="X154" s="1"/>
    </row>
    <row r="155" spans="1:24" ht="14.25" customHeight="1">
      <c r="A155" s="61" t="s">
        <v>112</v>
      </c>
      <c r="B155" s="59">
        <f>PRODUCT(SEMANAL!$D44,B$133)/1000+PRODUCT(SEMANAL!$B44,B$134)/1000</f>
        <v>2.35</v>
      </c>
      <c r="C155" s="59">
        <f>PRODUCT(SEMANAL!$D44,C$133)/1000+PRODUCT(SEMANAL!$B44,C$134)/1000</f>
        <v>0</v>
      </c>
      <c r="D155" s="59">
        <f>PRODUCT(SEMANAL!$D44,D$133)/1000+PRODUCT(SEMANAL!$B44,D$134)/1000</f>
        <v>0.15</v>
      </c>
      <c r="E155" s="59">
        <f>PRODUCT(SEMANAL!$D44,E$133)/1000+PRODUCT(SEMANAL!$B44,E$134)/1000</f>
        <v>4.0999999999999996</v>
      </c>
      <c r="F155" s="59">
        <f>PRODUCT(SEMANAL!$D44,F$133)/1000+PRODUCT(SEMANAL!$B44,F$134)/1000</f>
        <v>0</v>
      </c>
      <c r="G155" s="59">
        <f>PRODUCT(SEMANAL!$D44,G$133)/1000+PRODUCT(SEMANAL!$B44,G$134)/1000</f>
        <v>0.7</v>
      </c>
      <c r="H155" s="59">
        <f>PRODUCT(SEMANAL!$D44,H$133)/1000+PRODUCT(SEMANAL!$B44,H$134)/1000</f>
        <v>0</v>
      </c>
      <c r="I155" s="59">
        <f>PRODUCT(SEMANAL!$D44,I$133)/1000+PRODUCT(SEMANAL!$B44,I$134)/1000</f>
        <v>0</v>
      </c>
      <c r="J155" s="59">
        <f>PRODUCT(SEMANAL!$D44,J$133)/1000+PRODUCT(SEMANAL!$B44,J$134)/1000</f>
        <v>4.3499999999999996</v>
      </c>
      <c r="K155" s="59">
        <f>PRODUCT(SEMANAL!$D44,K$133)/1000+PRODUCT(SEMANAL!$B44,K$134)/1000</f>
        <v>2.15</v>
      </c>
      <c r="L155" s="59">
        <f>PRODUCT(SEMANAL!$D44,L$133)/1000+PRODUCT(SEMANAL!$B44,L$134)/1000</f>
        <v>2.8</v>
      </c>
      <c r="M155" s="59">
        <f>PRODUCT(SEMANAL!$D44,M$133)/1000+PRODUCT(SEMANAL!$B44,M$134)/1000</f>
        <v>0</v>
      </c>
      <c r="N155" s="59">
        <f>PRODUCT(SEMANAL!$D44,N$133)/1000+PRODUCT(SEMANAL!$B44,N$134)/1000</f>
        <v>0.5</v>
      </c>
      <c r="O155" s="60">
        <f>SUM('OC SECOS y LAC AZUL 2'!B36:N36)</f>
        <v>21</v>
      </c>
      <c r="P155" s="55">
        <v>949</v>
      </c>
      <c r="Q155" s="33">
        <f t="shared" si="5"/>
        <v>19929</v>
      </c>
      <c r="R155" s="1"/>
      <c r="S155" s="1"/>
      <c r="T155" s="1"/>
      <c r="U155" s="1"/>
      <c r="V155" s="1"/>
      <c r="W155" s="1"/>
      <c r="X155" s="1"/>
    </row>
    <row r="156" spans="1:24" ht="14.25" customHeight="1">
      <c r="A156" s="61" t="s">
        <v>113</v>
      </c>
      <c r="B156" s="59">
        <f>PRODUCT(SEMANAL!$D45,B$133)/1000+PRODUCT(SEMANAL!$B45,B$134)/1000</f>
        <v>3.5249999999999999</v>
      </c>
      <c r="C156" s="59">
        <f>PRODUCT(SEMANAL!$D45,C$133)/1000+PRODUCT(SEMANAL!$B45,C$134)/1000</f>
        <v>0</v>
      </c>
      <c r="D156" s="59">
        <f>PRODUCT(SEMANAL!$D45,D$133)/1000+PRODUCT(SEMANAL!$B45,D$134)/1000</f>
        <v>0.22500000000000001</v>
      </c>
      <c r="E156" s="59">
        <f>PRODUCT(SEMANAL!$D45,E$133)/1000+PRODUCT(SEMANAL!$B45,E$134)/1000</f>
        <v>6.15</v>
      </c>
      <c r="F156" s="59">
        <f>PRODUCT(SEMANAL!$D45,F$133)/1000+PRODUCT(SEMANAL!$B45,F$134)/1000</f>
        <v>0</v>
      </c>
      <c r="G156" s="59">
        <f>PRODUCT(SEMANAL!$D45,G$133)/1000+PRODUCT(SEMANAL!$B45,G$134)/1000</f>
        <v>1.05</v>
      </c>
      <c r="H156" s="59">
        <f>PRODUCT(SEMANAL!$D45,H$133)/1000+PRODUCT(SEMANAL!$B45,H$134)/1000</f>
        <v>0</v>
      </c>
      <c r="I156" s="59">
        <f>PRODUCT(SEMANAL!$D45,I$133)/1000+PRODUCT(SEMANAL!$B45,I$134)/1000</f>
        <v>0</v>
      </c>
      <c r="J156" s="59">
        <f>PRODUCT(SEMANAL!$D45,J$133)/1000+PRODUCT(SEMANAL!$B45,J$134)/1000</f>
        <v>6.5250000000000004</v>
      </c>
      <c r="K156" s="59">
        <f>PRODUCT(SEMANAL!$D45,K$133)/1000+PRODUCT(SEMANAL!$B45,K$134)/1000</f>
        <v>3.2250000000000001</v>
      </c>
      <c r="L156" s="59">
        <f>PRODUCT(SEMANAL!$D45,L$133)/1000+PRODUCT(SEMANAL!$B45,L$134)/1000</f>
        <v>4.2</v>
      </c>
      <c r="M156" s="59">
        <f>PRODUCT(SEMANAL!$D45,M$133)/1000+PRODUCT(SEMANAL!$B45,M$134)/1000</f>
        <v>0</v>
      </c>
      <c r="N156" s="59">
        <f>PRODUCT(SEMANAL!$D45,N$133)/1000+PRODUCT(SEMANAL!$B45,N$134)/1000</f>
        <v>0.75</v>
      </c>
      <c r="O156" s="60">
        <f>SUM('OC SECOS y LAC AZUL 2'!B37:N37)</f>
        <v>30</v>
      </c>
      <c r="P156" s="55">
        <v>694</v>
      </c>
      <c r="Q156" s="33">
        <f t="shared" si="5"/>
        <v>20820</v>
      </c>
      <c r="R156" s="1"/>
      <c r="S156" s="1"/>
      <c r="T156" s="1"/>
      <c r="U156" s="1"/>
      <c r="V156" s="1"/>
      <c r="W156" s="1"/>
      <c r="X156" s="1"/>
    </row>
    <row r="157" spans="1:24" ht="14.25" customHeight="1">
      <c r="A157" s="61" t="s">
        <v>114</v>
      </c>
      <c r="B157" s="59">
        <f>PRODUCT(SEMANAL!$D46,B$133)/20+PRODUCT(SEMANAL!$B46,B$134)/20</f>
        <v>0.82250000000000001</v>
      </c>
      <c r="C157" s="59">
        <f>PRODUCT(SEMANAL!$D46,C$133)/20+PRODUCT(SEMANAL!$B46,C$134)/20</f>
        <v>0</v>
      </c>
      <c r="D157" s="59">
        <f>PRODUCT(SEMANAL!$D46,D$133)/20+PRODUCT(SEMANAL!$B46,D$134)/20</f>
        <v>5.2499999999999991E-2</v>
      </c>
      <c r="E157" s="59">
        <f>PRODUCT(SEMANAL!$D46,E$133)/20+PRODUCT(SEMANAL!$B46,E$134)/20</f>
        <v>1.4350000000000001</v>
      </c>
      <c r="F157" s="59">
        <f>PRODUCT(SEMANAL!$D46,F$133)/20+PRODUCT(SEMANAL!$B46,F$134)/20</f>
        <v>0</v>
      </c>
      <c r="G157" s="59">
        <f>PRODUCT(SEMANAL!$D46,G$133)/20+PRODUCT(SEMANAL!$B46,G$134)/20</f>
        <v>0.24499999999999997</v>
      </c>
      <c r="H157" s="59">
        <f>PRODUCT(SEMANAL!$D46,H$133)/20+PRODUCT(SEMANAL!$B46,H$134)/20</f>
        <v>0</v>
      </c>
      <c r="I157" s="59">
        <f>PRODUCT(SEMANAL!$D46,I$133)/20+PRODUCT(SEMANAL!$B46,I$134)/20</f>
        <v>0</v>
      </c>
      <c r="J157" s="59">
        <f>PRODUCT(SEMANAL!$D46,J$133)/20+PRODUCT(SEMANAL!$B46,J$134)/20</f>
        <v>1.5225</v>
      </c>
      <c r="K157" s="59">
        <f>PRODUCT(SEMANAL!$D46,K$133)/20+PRODUCT(SEMANAL!$B46,K$134)/20</f>
        <v>0.75249999999999995</v>
      </c>
      <c r="L157" s="59">
        <f>PRODUCT(SEMANAL!$D46,L$133)/20+PRODUCT(SEMANAL!$B46,L$134)/20</f>
        <v>0.97999999999999987</v>
      </c>
      <c r="M157" s="59">
        <f>PRODUCT(SEMANAL!$D46,M$133)/20+PRODUCT(SEMANAL!$B46,M$134)/20</f>
        <v>0</v>
      </c>
      <c r="N157" s="59">
        <f>PRODUCT(SEMANAL!$D46,N$133)/20+PRODUCT(SEMANAL!$B46,N$134)/20</f>
        <v>0.17499999999999999</v>
      </c>
      <c r="O157" s="60">
        <f>SUM('OC SECOS y LAC AZUL 2'!B38:N38)</f>
        <v>10</v>
      </c>
      <c r="P157" s="55">
        <v>709</v>
      </c>
      <c r="Q157" s="33">
        <f t="shared" si="5"/>
        <v>7090</v>
      </c>
      <c r="R157" s="1"/>
      <c r="S157" s="1"/>
      <c r="T157" s="1"/>
      <c r="U157" s="1"/>
      <c r="V157" s="1"/>
      <c r="W157" s="1"/>
      <c r="X157" s="1"/>
    </row>
    <row r="158" spans="1:24" ht="14.2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60"/>
      <c r="P158" s="55"/>
      <c r="Q158" s="33"/>
      <c r="R158" s="1"/>
      <c r="S158" s="1"/>
      <c r="T158" s="1"/>
      <c r="U158" s="1"/>
      <c r="V158" s="1"/>
      <c r="W158" s="1"/>
      <c r="X158" s="1"/>
    </row>
    <row r="159" spans="1:24" ht="14.2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60"/>
      <c r="P159" s="55"/>
      <c r="Q159" s="33"/>
      <c r="R159" s="1"/>
      <c r="S159" s="1"/>
      <c r="T159" s="1"/>
      <c r="U159" s="1"/>
      <c r="V159" s="1"/>
      <c r="W159" s="1"/>
      <c r="X159" s="1"/>
    </row>
    <row r="160" spans="1:24" ht="14.2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60"/>
      <c r="P160" s="55" t="s">
        <v>33</v>
      </c>
      <c r="Q160" s="33">
        <f>Q135+Q136+Q137+Q138+Q139+Q140+Q141+Q142+Q143+Q144+Q145+Q146+Q147+Q148+Q149+Q150+Q151+Q152+Q153+Q154+Q155+Q156+Q157</f>
        <v>1239639</v>
      </c>
      <c r="R160" s="1"/>
      <c r="S160" s="1"/>
      <c r="T160" s="1"/>
      <c r="U160" s="1"/>
      <c r="V160" s="1"/>
      <c r="W160" s="1"/>
      <c r="X160" s="1"/>
    </row>
    <row r="161" spans="1:26" ht="14.25" customHeight="1">
      <c r="A161" s="55"/>
      <c r="B161" s="26" t="s">
        <v>34</v>
      </c>
      <c r="C161" s="27" t="s">
        <v>35</v>
      </c>
      <c r="D161" s="26" t="s">
        <v>36</v>
      </c>
      <c r="E161" s="26" t="s">
        <v>37</v>
      </c>
      <c r="F161" s="26" t="s">
        <v>38</v>
      </c>
      <c r="G161" s="26" t="s">
        <v>39</v>
      </c>
      <c r="H161" s="26" t="s">
        <v>40</v>
      </c>
      <c r="I161" s="26" t="s">
        <v>41</v>
      </c>
      <c r="J161" s="26" t="s">
        <v>42</v>
      </c>
      <c r="K161" s="26" t="s">
        <v>43</v>
      </c>
      <c r="L161" s="26" t="s">
        <v>44</v>
      </c>
      <c r="M161" s="26" t="s">
        <v>45</v>
      </c>
      <c r="N161" s="26" t="s">
        <v>46</v>
      </c>
      <c r="O161" s="60"/>
      <c r="P161" s="55"/>
      <c r="Q161" s="33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55"/>
      <c r="B162" s="19">
        <v>49</v>
      </c>
      <c r="C162" s="19">
        <v>230</v>
      </c>
      <c r="D162" s="19">
        <v>19</v>
      </c>
      <c r="E162" s="19">
        <v>38</v>
      </c>
      <c r="F162" s="19">
        <v>26</v>
      </c>
      <c r="G162" s="19">
        <v>5</v>
      </c>
      <c r="H162" s="19">
        <v>5</v>
      </c>
      <c r="I162" s="19">
        <v>8</v>
      </c>
      <c r="J162" s="19">
        <v>8</v>
      </c>
      <c r="K162" s="19">
        <v>7</v>
      </c>
      <c r="L162" s="19">
        <v>10</v>
      </c>
      <c r="M162" s="19">
        <v>17</v>
      </c>
      <c r="N162" s="19">
        <v>9</v>
      </c>
      <c r="O162" s="60"/>
      <c r="P162" s="55"/>
      <c r="Q162" s="33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55"/>
      <c r="B163" s="19">
        <v>40</v>
      </c>
      <c r="C163" s="19">
        <v>115</v>
      </c>
      <c r="D163" s="19">
        <v>0</v>
      </c>
      <c r="E163" s="19">
        <v>0</v>
      </c>
      <c r="F163" s="19">
        <v>13</v>
      </c>
      <c r="G163" s="19">
        <v>1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3</v>
      </c>
      <c r="O163" s="60"/>
      <c r="P163" s="55"/>
      <c r="Q163" s="33"/>
      <c r="R163" s="62"/>
      <c r="S163" s="62"/>
      <c r="T163" s="1"/>
      <c r="U163" s="1"/>
      <c r="V163" s="1"/>
      <c r="W163" s="1"/>
      <c r="X163" s="1"/>
      <c r="Y163" s="1"/>
      <c r="Z163" s="1"/>
    </row>
    <row r="164" spans="1:26" ht="14.25" customHeight="1">
      <c r="A164" s="22" t="s">
        <v>115</v>
      </c>
      <c r="B164" s="59">
        <f>PRODUCT(SEMANAL!$D24,B$162)/1000+PRODUCT(SEMANAL!$B24,B$163)/1000</f>
        <v>34.4</v>
      </c>
      <c r="C164" s="59">
        <f>PRODUCT(SEMANAL!$D24,C$162)/1000+PRODUCT(SEMANAL!$B24,C$163)/1000</f>
        <v>152.375</v>
      </c>
      <c r="D164" s="59">
        <f>PRODUCT(SEMANAL!$D24,D$162)/1000+PRODUCT(SEMANAL!$B24,D$163)/1000</f>
        <v>11.4</v>
      </c>
      <c r="E164" s="59">
        <f>PRODUCT(SEMANAL!$D24,E$162)/1000+PRODUCT(SEMANAL!$B24,E$163)/1000</f>
        <v>22.8</v>
      </c>
      <c r="F164" s="59">
        <f>PRODUCT(SEMANAL!$D24,F$162)/1000+PRODUCT(SEMANAL!$B24,F$163)/1000</f>
        <v>17.225000000000001</v>
      </c>
      <c r="G164" s="59">
        <f>PRODUCT(SEMANAL!$D24,G$162)/1000+PRODUCT(SEMANAL!$B24,G$163)/1000</f>
        <v>3.125</v>
      </c>
      <c r="H164" s="59">
        <f>PRODUCT(SEMANAL!$D24,H$162)/1000+PRODUCT(SEMANAL!$B24,H$163)/1000</f>
        <v>3</v>
      </c>
      <c r="I164" s="59">
        <f>PRODUCT(SEMANAL!$D24,I$162)/1000+PRODUCT(SEMANAL!$B24,I$163)/1000</f>
        <v>4.8</v>
      </c>
      <c r="J164" s="59">
        <f>PRODUCT(SEMANAL!$D24,J$162)/1000+PRODUCT(SEMANAL!$B24,J$163)/1000</f>
        <v>4.8</v>
      </c>
      <c r="K164" s="59">
        <f>PRODUCT(SEMANAL!$D24,K$162)/1000+PRODUCT(SEMANAL!$B24,K$163)/1000</f>
        <v>4.2</v>
      </c>
      <c r="L164" s="59">
        <f>PRODUCT(SEMANAL!$D24,L$162)/1000+PRODUCT(SEMANAL!$B24,L$163)/1000</f>
        <v>6</v>
      </c>
      <c r="M164" s="59">
        <f>PRODUCT(SEMANAL!$D24,M$162)/1000+PRODUCT(SEMANAL!$B24,M$163)/1000</f>
        <v>10.199999999999999</v>
      </c>
      <c r="N164" s="59">
        <f>PRODUCT(SEMANAL!$D24,N$162)/1000+PRODUCT(SEMANAL!$B24,N$163)/1000</f>
        <v>5.7750000000000004</v>
      </c>
      <c r="O164" s="60">
        <f>SUM('OC SECOS y LAC AZUL 2'!B45:N45)</f>
        <v>60</v>
      </c>
      <c r="P164" s="55">
        <v>1651</v>
      </c>
      <c r="Q164" s="33">
        <f t="shared" ref="Q164:Q186" si="6">O164*P164</f>
        <v>99060</v>
      </c>
      <c r="R164" s="9"/>
      <c r="S164" s="9"/>
      <c r="T164" s="10"/>
      <c r="U164" s="1"/>
      <c r="V164" s="1"/>
      <c r="W164" s="1"/>
      <c r="X164" s="1"/>
      <c r="Y164" s="1"/>
      <c r="Z164" s="1"/>
    </row>
    <row r="165" spans="1:26" ht="14.25" customHeight="1">
      <c r="A165" s="22" t="s">
        <v>116</v>
      </c>
      <c r="B165" s="59">
        <f>PRODUCT(SEMANAL!D$25,B$162)/1000+PRODUCT(SEMANAL!B$25,B$163)/1000</f>
        <v>1.0150000000000001</v>
      </c>
      <c r="C165" s="59">
        <f>PRODUCT(SEMANAL!E$25,C$162)/1000+PRODUCT(SEMANAL!C$25,C$163)/1000</f>
        <v>3.5650000000000004</v>
      </c>
      <c r="D165" s="59">
        <f>PRODUCT(SEMANAL!F$25,D$162)/1000+PRODUCT(SEMANAL!D$25,D$163)/1000</f>
        <v>0.41799999999999998</v>
      </c>
      <c r="E165" s="59">
        <f>PRODUCT(SEMANAL!G$25,E$162)/1000+PRODUCT(SEMANAL!E$25,E$163)/1000</f>
        <v>0.56999999999999995</v>
      </c>
      <c r="F165" s="59">
        <f>PRODUCT(SEMANAL!H$25,F$162)/1000+PRODUCT(SEMANAL!F$25,F$163)/1000</f>
        <v>0.312</v>
      </c>
      <c r="G165" s="59">
        <f>PRODUCT(SEMANAL!I$25,G$162)/1000+PRODUCT(SEMANAL!G$25,G$163)/1000</f>
        <v>0.02</v>
      </c>
      <c r="H165" s="59">
        <f>PRODUCT(SEMANAL!J$25,H$162)/1000+PRODUCT(SEMANAL!H$25,H$163)/1000</f>
        <v>5.0000000000000001E-3</v>
      </c>
      <c r="I165" s="59">
        <f>PRODUCT(SEMANAL!K$25,I$162)/1000+PRODUCT(SEMANAL!I$25,I$163)/1000</f>
        <v>8.0000000000000002E-3</v>
      </c>
      <c r="J165" s="59">
        <f>PRODUCT(SEMANAL!L$25,J$162)/1000+PRODUCT(SEMANAL!J$25,J$163)/1000</f>
        <v>8.0000000000000002E-3</v>
      </c>
      <c r="K165" s="59">
        <f>PRODUCT(SEMANAL!M$25,K$162)/1000+PRODUCT(SEMANAL!K$25,K$163)/1000</f>
        <v>7.0000000000000001E-3</v>
      </c>
      <c r="L165" s="59">
        <f>PRODUCT(SEMANAL!N$25,L$162)/1000+PRODUCT(SEMANAL!L$25,L$163)/1000</f>
        <v>0.01</v>
      </c>
      <c r="M165" s="59">
        <f>PRODUCT(SEMANAL!O$25,M$162)/1000+PRODUCT(SEMANAL!M$25,M$163)/1000</f>
        <v>1.7000000000000001E-2</v>
      </c>
      <c r="N165" s="59">
        <f>PRODUCT(SEMANAL!P$25,N$162)/1000+PRODUCT(SEMANAL!N$25,N$163)/1000</f>
        <v>1.2E-2</v>
      </c>
      <c r="O165" s="60">
        <f>SUM('OC SECOS y LAC AZUL 2'!B46:N46)</f>
        <v>13</v>
      </c>
      <c r="P165" s="55">
        <v>1274</v>
      </c>
      <c r="Q165" s="33">
        <f t="shared" si="6"/>
        <v>16562</v>
      </c>
      <c r="R165" s="12"/>
      <c r="S165" s="12"/>
      <c r="T165" s="4"/>
      <c r="U165" s="1"/>
      <c r="V165" s="1"/>
      <c r="W165" s="1"/>
      <c r="X165" s="1"/>
      <c r="Y165" s="1"/>
      <c r="Z165" s="1"/>
    </row>
    <row r="166" spans="1:26" ht="14.25" customHeight="1">
      <c r="A166" s="22" t="s">
        <v>117</v>
      </c>
      <c r="B166" s="59">
        <f>PRODUCT(SEMANAL!$D26,B$162)/25+PRODUCT(SEMANAL!$B26,B$163)/25</f>
        <v>2.94</v>
      </c>
      <c r="C166" s="59">
        <f>PRODUCT(SEMANAL!$D26,C$162)/25+PRODUCT(SEMANAL!$B26,C$163)/25</f>
        <v>13.8</v>
      </c>
      <c r="D166" s="59">
        <f>PRODUCT(SEMANAL!$D26,D$162)/25+PRODUCT(SEMANAL!$B26,D$163)/25</f>
        <v>1.1399999999999999</v>
      </c>
      <c r="E166" s="59">
        <f>PRODUCT(SEMANAL!$D26,E$162)/25+PRODUCT(SEMANAL!$B26,E$163)/25</f>
        <v>2.2799999999999998</v>
      </c>
      <c r="F166" s="59">
        <f>PRODUCT(SEMANAL!$D26,F$162)/25+PRODUCT(SEMANAL!$B26,F$163)/25</f>
        <v>1.56</v>
      </c>
      <c r="G166" s="59">
        <f>PRODUCT(SEMANAL!$D26,G$162)/25+PRODUCT(SEMANAL!$B26,G$163)/25</f>
        <v>0.3</v>
      </c>
      <c r="H166" s="59">
        <f>PRODUCT(SEMANAL!$D26,H$162)/25+PRODUCT(SEMANAL!$B26,H$163)/25</f>
        <v>0.3</v>
      </c>
      <c r="I166" s="59">
        <f>PRODUCT(SEMANAL!$D26,I$162)/25+PRODUCT(SEMANAL!$B26,I$163)/25</f>
        <v>0.48</v>
      </c>
      <c r="J166" s="59">
        <f>PRODUCT(SEMANAL!$D26,J$162)/25+PRODUCT(SEMANAL!$B26,J$163)/25</f>
        <v>0.48</v>
      </c>
      <c r="K166" s="59">
        <f>PRODUCT(SEMANAL!$D26,K$162)/25+PRODUCT(SEMANAL!$B26,K$163)/25</f>
        <v>0.42</v>
      </c>
      <c r="L166" s="59">
        <f>PRODUCT(SEMANAL!$D26,L$162)/25+PRODUCT(SEMANAL!$B26,L$163)/25</f>
        <v>0.6</v>
      </c>
      <c r="M166" s="59">
        <f>PRODUCT(SEMANAL!$D26,M$162)/25+PRODUCT(SEMANAL!$B26,M$163)/25</f>
        <v>1.02</v>
      </c>
      <c r="N166" s="59">
        <f>PRODUCT(SEMANAL!$D26,N$162)/25+PRODUCT(SEMANAL!$B26,N$163)/25</f>
        <v>0.54</v>
      </c>
      <c r="O166" s="60">
        <f>SUM('OC SECOS y LAC AZUL 2'!B47:N47)</f>
        <v>9</v>
      </c>
      <c r="P166" s="55">
        <v>536</v>
      </c>
      <c r="Q166" s="33">
        <f t="shared" si="6"/>
        <v>4824</v>
      </c>
      <c r="R166" s="4"/>
      <c r="S166" s="4"/>
      <c r="T166" s="4"/>
      <c r="U166" s="1"/>
      <c r="V166" s="1"/>
      <c r="W166" s="1"/>
      <c r="X166" s="1"/>
      <c r="Y166" s="1"/>
      <c r="Z166" s="1"/>
    </row>
    <row r="167" spans="1:26" ht="14.25" customHeight="1">
      <c r="A167" s="22" t="s">
        <v>95</v>
      </c>
      <c r="B167" s="59">
        <f>PRODUCT(SEMANAL!$D27,B$162)/360+PRODUCT(SEMANAL!$B27,B$163)/360</f>
        <v>2.7222222222222223</v>
      </c>
      <c r="C167" s="59">
        <f>PRODUCT(SEMANAL!$D27,C$162)/360+PRODUCT(SEMANAL!$B27,C$163)/360</f>
        <v>12.777777777777779</v>
      </c>
      <c r="D167" s="59">
        <f>PRODUCT(SEMANAL!$D27,D$162)/360+PRODUCT(SEMANAL!$B27,D$163)/360</f>
        <v>1.0555555555555556</v>
      </c>
      <c r="E167" s="59">
        <f>PRODUCT(SEMANAL!$D27,E$162)/360+PRODUCT(SEMANAL!$B27,E$163)/360</f>
        <v>2.1111111111111112</v>
      </c>
      <c r="F167" s="59">
        <f>PRODUCT(SEMANAL!$D27,F$162)/360+PRODUCT(SEMANAL!$B27,F$163)/360</f>
        <v>1.4444444444444444</v>
      </c>
      <c r="G167" s="59">
        <f>PRODUCT(SEMANAL!$D27,G$162)/360+PRODUCT(SEMANAL!$B27,G$163)/360</f>
        <v>0.27777777777777779</v>
      </c>
      <c r="H167" s="59">
        <f>PRODUCT(SEMANAL!$D27,H$162)/360+PRODUCT(SEMANAL!$B27,H$163)/360</f>
        <v>0.27777777777777779</v>
      </c>
      <c r="I167" s="59">
        <f>PRODUCT(SEMANAL!$D27,I$162)/360+PRODUCT(SEMANAL!$B27,I$163)/360</f>
        <v>0.44444444444444442</v>
      </c>
      <c r="J167" s="59">
        <f>PRODUCT(SEMANAL!$D27,J$162)/360+PRODUCT(SEMANAL!$B27,J$163)/360</f>
        <v>0.44444444444444442</v>
      </c>
      <c r="K167" s="59">
        <f>PRODUCT(SEMANAL!$D27,K$162)/360+PRODUCT(SEMANAL!$B27,K$163)/360</f>
        <v>0.3888888888888889</v>
      </c>
      <c r="L167" s="59">
        <f>PRODUCT(SEMANAL!$D27,L$162)/360+PRODUCT(SEMANAL!$B27,L$163)/360</f>
        <v>0.55555555555555558</v>
      </c>
      <c r="M167" s="59">
        <f>PRODUCT(SEMANAL!$D27,M$162)/360+PRODUCT(SEMANAL!$B27,M$163)/360</f>
        <v>0.94444444444444442</v>
      </c>
      <c r="N167" s="59">
        <f>PRODUCT(SEMANAL!$D27,N$162)/360+PRODUCT(SEMANAL!$B27,N$163)/360</f>
        <v>0.5</v>
      </c>
      <c r="O167" s="60">
        <f>SUM('OC SECOS y LAC AZUL 2'!B48:N48)</f>
        <v>10</v>
      </c>
      <c r="P167" s="55">
        <v>2141</v>
      </c>
      <c r="Q167" s="33">
        <f t="shared" si="6"/>
        <v>21410</v>
      </c>
      <c r="R167" s="33"/>
      <c r="S167" s="33"/>
      <c r="T167" s="1"/>
      <c r="U167" s="1"/>
      <c r="V167" s="1"/>
      <c r="W167" s="1"/>
      <c r="X167" s="1"/>
      <c r="Y167" s="1"/>
      <c r="Z167" s="1"/>
    </row>
    <row r="168" spans="1:26" ht="14.25" customHeight="1">
      <c r="A168" s="22" t="s">
        <v>118</v>
      </c>
      <c r="B168" s="59">
        <f>PRODUCT(SEMANAL!$D28,B$162)/400+PRODUCT(SEMANAL!$B28,B$163)/400</f>
        <v>3.6749999999999998</v>
      </c>
      <c r="C168" s="59">
        <f>PRODUCT(SEMANAL!$D28,C$162)/400+PRODUCT(SEMANAL!$B28,C$163)/400</f>
        <v>17.25</v>
      </c>
      <c r="D168" s="59">
        <f>PRODUCT(SEMANAL!$D28,D$162)/400+PRODUCT(SEMANAL!$B28,D$163)/400</f>
        <v>1.425</v>
      </c>
      <c r="E168" s="59">
        <f>PRODUCT(SEMANAL!$D28,E$162)/400+PRODUCT(SEMANAL!$B28,E$163)/400</f>
        <v>2.85</v>
      </c>
      <c r="F168" s="59">
        <f>PRODUCT(SEMANAL!$D28,F$162)/400+PRODUCT(SEMANAL!$B28,F$163)/400</f>
        <v>1.95</v>
      </c>
      <c r="G168" s="59">
        <f>PRODUCT(SEMANAL!$D28,G$162)/400+PRODUCT(SEMANAL!$B28,G$163)/400</f>
        <v>0.375</v>
      </c>
      <c r="H168" s="59">
        <f>PRODUCT(SEMANAL!$D28,H$162)/400+PRODUCT(SEMANAL!$B28,H$163)/400</f>
        <v>0.375</v>
      </c>
      <c r="I168" s="59">
        <f>PRODUCT(SEMANAL!$D28,I$162)/400+PRODUCT(SEMANAL!$B28,I$163)/400</f>
        <v>0.6</v>
      </c>
      <c r="J168" s="59">
        <f>PRODUCT(SEMANAL!$D28,J$162)/400+PRODUCT(SEMANAL!$B28,J$163)/400</f>
        <v>0.6</v>
      </c>
      <c r="K168" s="59">
        <f>PRODUCT(SEMANAL!$D28,K$162)/400+PRODUCT(SEMANAL!$B28,K$163)/400</f>
        <v>0.52500000000000002</v>
      </c>
      <c r="L168" s="59">
        <f>PRODUCT(SEMANAL!$D28,L$162)/400+PRODUCT(SEMANAL!$B28,L$163)/400</f>
        <v>0.75</v>
      </c>
      <c r="M168" s="59">
        <f>PRODUCT(SEMANAL!$D28,M$162)/400+PRODUCT(SEMANAL!$B28,M$163)/400</f>
        <v>1.2749999999999999</v>
      </c>
      <c r="N168" s="59">
        <f>PRODUCT(SEMANAL!$D28,N$162)/400+PRODUCT(SEMANAL!$B28,N$163)/400</f>
        <v>0.67500000000000004</v>
      </c>
      <c r="O168" s="60">
        <f>SUM('OC SECOS y LAC AZUL 2'!B49:N49)</f>
        <v>11</v>
      </c>
      <c r="P168" s="55">
        <v>1755</v>
      </c>
      <c r="Q168" s="33">
        <f t="shared" si="6"/>
        <v>19305</v>
      </c>
      <c r="R168" s="20"/>
      <c r="S168" s="20"/>
      <c r="T168" s="20"/>
      <c r="U168" s="21"/>
      <c r="V168" s="1"/>
      <c r="W168" s="1"/>
      <c r="X168" s="1"/>
      <c r="Y168" s="1"/>
      <c r="Z168" s="1"/>
    </row>
    <row r="169" spans="1:26" ht="14.25" customHeight="1">
      <c r="A169" s="22" t="s">
        <v>119</v>
      </c>
      <c r="B169" s="59">
        <f>PRODUCT(SEMANAL!$D29,B$162)/1000+PRODUCT(SEMANAL!$B28,B$163)/1000</f>
        <v>0.98</v>
      </c>
      <c r="C169" s="59">
        <f>PRODUCT(SEMANAL!$D29,C$162)/1000+PRODUCT(SEMANAL!$B28,C$163)/1000</f>
        <v>4.5999999999999996</v>
      </c>
      <c r="D169" s="59">
        <f>PRODUCT(SEMANAL!$D29,D$162)/1000+PRODUCT(SEMANAL!$B28,D$163)/1000</f>
        <v>0.38</v>
      </c>
      <c r="E169" s="59">
        <f>PRODUCT(SEMANAL!$D29,E$162)/1000+PRODUCT(SEMANAL!$B28,E$163)/1000</f>
        <v>0.76</v>
      </c>
      <c r="F169" s="59">
        <f>PRODUCT(SEMANAL!$D29,F$162)/1000+PRODUCT(SEMANAL!$B28,F$163)/1000</f>
        <v>0.52</v>
      </c>
      <c r="G169" s="59">
        <f>PRODUCT(SEMANAL!$D29,G$162)/1000+PRODUCT(SEMANAL!$B28,G$163)/1000</f>
        <v>0.1</v>
      </c>
      <c r="H169" s="59">
        <f>PRODUCT(SEMANAL!$D29,H$162)/1000+PRODUCT(SEMANAL!$B28,H$163)/1000</f>
        <v>0.1</v>
      </c>
      <c r="I169" s="59">
        <f>PRODUCT(SEMANAL!$D29,I$162)/1000+PRODUCT(SEMANAL!$B28,I$163)/1000</f>
        <v>0.16</v>
      </c>
      <c r="J169" s="59">
        <f>PRODUCT(SEMANAL!$D29,J$162)/1000+PRODUCT(SEMANAL!$B28,J$163)/1000</f>
        <v>0.16</v>
      </c>
      <c r="K169" s="59">
        <f>PRODUCT(SEMANAL!$D29,K$162)/1000+PRODUCT(SEMANAL!$B28,K$163)/1000</f>
        <v>0.14000000000000001</v>
      </c>
      <c r="L169" s="59">
        <f>PRODUCT(SEMANAL!$D29,L$162)/1000+PRODUCT(SEMANAL!$B28,L$163)/1000</f>
        <v>0.2</v>
      </c>
      <c r="M169" s="59">
        <f>PRODUCT(SEMANAL!$D29,M$162)/1000+PRODUCT(SEMANAL!$B28,M$163)/1000</f>
        <v>0.34</v>
      </c>
      <c r="N169" s="59">
        <f>PRODUCT(SEMANAL!$D29,N$162)/1000+PRODUCT(SEMANAL!$B28,N$163)/1000</f>
        <v>0.18</v>
      </c>
      <c r="O169" s="60">
        <f>SUM('OC SECOS y LAC AZUL 2'!B50:N50)</f>
        <v>4</v>
      </c>
      <c r="P169" s="55">
        <v>2125</v>
      </c>
      <c r="Q169" s="33">
        <f t="shared" si="6"/>
        <v>8500</v>
      </c>
      <c r="R169" s="20"/>
      <c r="S169" s="20"/>
      <c r="T169" s="20"/>
      <c r="U169" s="21"/>
      <c r="V169" s="1"/>
      <c r="W169" s="1"/>
      <c r="X169" s="1"/>
      <c r="Y169" s="1"/>
      <c r="Z169" s="1"/>
    </row>
    <row r="170" spans="1:26" ht="14.25" customHeight="1">
      <c r="A170" s="22" t="s">
        <v>98</v>
      </c>
      <c r="B170" s="59">
        <f>PRODUCT(SEMANAL!$D30,B$162)/1000+PRODUCT(SEMANAL!$B30,B$163)/1000</f>
        <v>2</v>
      </c>
      <c r="C170" s="59">
        <f>PRODUCT(SEMANAL!$D30,C$162)/1000+PRODUCT(SEMANAL!$B30,C$163)/1000</f>
        <v>5.75</v>
      </c>
      <c r="D170" s="59">
        <f>PRODUCT(SEMANAL!$D30,D$162)/1000+PRODUCT(SEMANAL!$B30,D$163)/1000</f>
        <v>0</v>
      </c>
      <c r="E170" s="59">
        <f>PRODUCT(SEMANAL!$D30,E$162)/1000+PRODUCT(SEMANAL!$B30,E$163)/1000</f>
        <v>0</v>
      </c>
      <c r="F170" s="59">
        <f>PRODUCT(SEMANAL!$D30,F$162)/1000+PRODUCT(SEMANAL!$B30,F$163)/1000</f>
        <v>0.65</v>
      </c>
      <c r="G170" s="59">
        <f>PRODUCT(SEMANAL!$D30,G$162)/1000+PRODUCT(SEMANAL!$B30,G$163)/1000</f>
        <v>0.05</v>
      </c>
      <c r="H170" s="59">
        <f>PRODUCT(SEMANAL!$D30,H$162)/1000+PRODUCT(SEMANAL!$B30,H$163)/1000</f>
        <v>0</v>
      </c>
      <c r="I170" s="59">
        <f>PRODUCT(SEMANAL!$D30,I$162)/1000+PRODUCT(SEMANAL!$B30,I$163)/1000</f>
        <v>0</v>
      </c>
      <c r="J170" s="59">
        <f>PRODUCT(SEMANAL!$D30,J$162)/1000+PRODUCT(SEMANAL!$B30,J$163)/1000</f>
        <v>0</v>
      </c>
      <c r="K170" s="59">
        <f>PRODUCT(SEMANAL!$D30,K$162)/1000+PRODUCT(SEMANAL!$B30,K$163)/1000</f>
        <v>0</v>
      </c>
      <c r="L170" s="59">
        <f>PRODUCT(SEMANAL!$D30,L$162)/1000+PRODUCT(SEMANAL!$B30,L$163)/1000</f>
        <v>0</v>
      </c>
      <c r="M170" s="59">
        <f>PRODUCT(SEMANAL!$D30,M$162)/1000+PRODUCT(SEMANAL!$B30,M$163)/1000</f>
        <v>0</v>
      </c>
      <c r="N170" s="59">
        <f>PRODUCT(SEMANAL!$D30,N$162)/1000+PRODUCT(SEMANAL!$B30,N$163)/1000</f>
        <v>0.15</v>
      </c>
      <c r="O170" s="60">
        <f>SUM('OC SECOS y LAC AZUL 2'!B51:N51)</f>
        <v>10</v>
      </c>
      <c r="P170" s="55">
        <v>8692</v>
      </c>
      <c r="Q170" s="33">
        <f t="shared" si="6"/>
        <v>86920</v>
      </c>
      <c r="R170" s="20"/>
      <c r="S170" s="20"/>
      <c r="T170" s="20"/>
      <c r="U170" s="21"/>
      <c r="V170" s="1"/>
      <c r="W170" s="1"/>
      <c r="X170" s="1"/>
      <c r="Y170" s="1"/>
      <c r="Z170" s="1"/>
    </row>
    <row r="171" spans="1:26" ht="14.25" customHeight="1">
      <c r="A171" s="22" t="s">
        <v>120</v>
      </c>
      <c r="B171" s="59">
        <f>PRODUCT(SEMANAL!$D31,B$162)/900+PRODUCT(SEMANAL!$B31,B$163)/900</f>
        <v>1.3333333333333333</v>
      </c>
      <c r="C171" s="59">
        <f>PRODUCT(SEMANAL!$D31,C$162)/900+PRODUCT(SEMANAL!$B31,C$163)/900</f>
        <v>3.8333333333333335</v>
      </c>
      <c r="D171" s="59">
        <f>PRODUCT(SEMANAL!$D31,D$162)/900+PRODUCT(SEMANAL!$B31,D$163)/900</f>
        <v>0</v>
      </c>
      <c r="E171" s="59">
        <f>PRODUCT(SEMANAL!$D31,E$162)/900+PRODUCT(SEMANAL!$B31,E$163)/900</f>
        <v>0</v>
      </c>
      <c r="F171" s="59">
        <f>PRODUCT(SEMANAL!$D31,F$162)/900+PRODUCT(SEMANAL!$B31,F$163)/900</f>
        <v>0.43333333333333335</v>
      </c>
      <c r="G171" s="59">
        <f>PRODUCT(SEMANAL!$D31,G$162)/900+PRODUCT(SEMANAL!$B31,G$163)/900</f>
        <v>3.3333333333333333E-2</v>
      </c>
      <c r="H171" s="59">
        <f>PRODUCT(SEMANAL!$D31,H$162)/900+PRODUCT(SEMANAL!$B31,H$163)/900</f>
        <v>0</v>
      </c>
      <c r="I171" s="59">
        <f>PRODUCT(SEMANAL!$D31,I$162)/900+PRODUCT(SEMANAL!$B31,I$163)/900</f>
        <v>0</v>
      </c>
      <c r="J171" s="59">
        <f>PRODUCT(SEMANAL!$D31,J$162)/900+PRODUCT(SEMANAL!$B31,J$163)/900</f>
        <v>0</v>
      </c>
      <c r="K171" s="59">
        <f>PRODUCT(SEMANAL!$D31,K$162)/900+PRODUCT(SEMANAL!$B31,K$163)/900</f>
        <v>0</v>
      </c>
      <c r="L171" s="59">
        <f>PRODUCT(SEMANAL!$D31,L$162)/900+PRODUCT(SEMANAL!$B31,L$163)/900</f>
        <v>0</v>
      </c>
      <c r="M171" s="59">
        <f>PRODUCT(SEMANAL!$D31,M$162)/900+PRODUCT(SEMANAL!$B31,M$163)/900</f>
        <v>0</v>
      </c>
      <c r="N171" s="59">
        <f>PRODUCT(SEMANAL!$D31,N$162)/900+PRODUCT(SEMANAL!$B31,N$163)/900</f>
        <v>0.1</v>
      </c>
      <c r="O171" s="60">
        <f>SUM('OC SECOS y LAC AZUL 2'!B52:N52)</f>
        <v>1</v>
      </c>
      <c r="P171" s="55">
        <v>2365</v>
      </c>
      <c r="Q171" s="33">
        <f t="shared" si="6"/>
        <v>2365</v>
      </c>
      <c r="R171" s="20"/>
      <c r="S171" s="20"/>
      <c r="T171" s="20"/>
      <c r="U171" s="21"/>
      <c r="V171" s="1"/>
      <c r="W171" s="1"/>
      <c r="X171" s="1"/>
      <c r="Y171" s="1"/>
      <c r="Z171" s="1"/>
    </row>
    <row r="172" spans="1:26" ht="14.25" customHeight="1">
      <c r="A172" s="22" t="s">
        <v>121</v>
      </c>
      <c r="B172" s="59">
        <f>PRODUCT(SEMANAL!$D32,B$162)/1000+PRODUCT(SEMANAL!$B32,B$163)/1000</f>
        <v>3.2</v>
      </c>
      <c r="C172" s="59">
        <f>PRODUCT(SEMANAL!$D32,C$162)/1000+PRODUCT(SEMANAL!$B32,C$163)/1000</f>
        <v>9.1999999999999993</v>
      </c>
      <c r="D172" s="59">
        <f>PRODUCT(SEMANAL!$D32,D$162)/1000+PRODUCT(SEMANAL!$B32,D$163)/1000</f>
        <v>0</v>
      </c>
      <c r="E172" s="59">
        <f>PRODUCT(SEMANAL!$D32,E$162)/1000+PRODUCT(SEMANAL!$B32,E$163)/1000</f>
        <v>0</v>
      </c>
      <c r="F172" s="59">
        <f>PRODUCT(SEMANAL!$D32,F$162)/1000+PRODUCT(SEMANAL!$B32,F$163)/1000</f>
        <v>1.04</v>
      </c>
      <c r="G172" s="59">
        <f>PRODUCT(SEMANAL!$D32,G$162)/1000+PRODUCT(SEMANAL!$B32,G$163)/1000</f>
        <v>0.08</v>
      </c>
      <c r="H172" s="59">
        <f>PRODUCT(SEMANAL!$D32,H$162)/1000+PRODUCT(SEMANAL!$B32,H$163)/1000</f>
        <v>0</v>
      </c>
      <c r="I172" s="59">
        <f>PRODUCT(SEMANAL!$D32,I$162)/1000+PRODUCT(SEMANAL!$B32,I$163)/1000</f>
        <v>0</v>
      </c>
      <c r="J172" s="59">
        <f>PRODUCT(SEMANAL!$D32,J$162)/1000+PRODUCT(SEMANAL!$B32,J$163)/1000</f>
        <v>0</v>
      </c>
      <c r="K172" s="59">
        <f>PRODUCT(SEMANAL!$D32,K$162)/1000+PRODUCT(SEMANAL!$B32,K$163)/1000</f>
        <v>0</v>
      </c>
      <c r="L172" s="59">
        <f>PRODUCT(SEMANAL!$D32,L$162)/1000+PRODUCT(SEMANAL!$B32,L$163)/1000</f>
        <v>0</v>
      </c>
      <c r="M172" s="59">
        <f>PRODUCT(SEMANAL!$D32,M$162)/1000+PRODUCT(SEMANAL!$B32,M$163)/1000</f>
        <v>0</v>
      </c>
      <c r="N172" s="59">
        <f>PRODUCT(SEMANAL!$D32,N$162)/1000+PRODUCT(SEMANAL!$B32,N$163)/1000</f>
        <v>0.24</v>
      </c>
      <c r="O172" s="60">
        <f>SUM('OC SECOS y LAC AZUL 2'!B53:N53)</f>
        <v>2</v>
      </c>
      <c r="P172" s="55">
        <v>949</v>
      </c>
      <c r="Q172" s="33">
        <f t="shared" si="6"/>
        <v>1898</v>
      </c>
      <c r="R172" s="20"/>
      <c r="S172" s="20"/>
      <c r="T172" s="20"/>
      <c r="U172" s="21"/>
      <c r="V172" s="1"/>
      <c r="W172" s="1"/>
      <c r="X172" s="1"/>
      <c r="Y172" s="1"/>
      <c r="Z172" s="1"/>
    </row>
    <row r="173" spans="1:26" ht="14.25" customHeight="1">
      <c r="A173" s="22" t="s">
        <v>122</v>
      </c>
      <c r="B173" s="59">
        <f>PRODUCT(SEMANAL!$D33,B$162)/340+PRODUCT(SEMANAL!$B33,B$163)/340</f>
        <v>0</v>
      </c>
      <c r="C173" s="59">
        <f>PRODUCT(SEMANAL!$D33,C$162)/340+PRODUCT(SEMANAL!$B33,C$163)/340</f>
        <v>0</v>
      </c>
      <c r="D173" s="59">
        <f>PRODUCT(SEMANAL!$D33,D$162)/340+PRODUCT(SEMANAL!$B33,D$163)/340</f>
        <v>0</v>
      </c>
      <c r="E173" s="59">
        <f>PRODUCT(SEMANAL!$D33,E$162)/340+PRODUCT(SEMANAL!$B33,E$163)/340</f>
        <v>0</v>
      </c>
      <c r="F173" s="59">
        <f>PRODUCT(SEMANAL!$D33,F$162)/340+PRODUCT(SEMANAL!$B33,F$163)/340</f>
        <v>0</v>
      </c>
      <c r="G173" s="59">
        <f>PRODUCT(SEMANAL!$D33,G$162)/340+PRODUCT(SEMANAL!$B33,G$163)/340</f>
        <v>0</v>
      </c>
      <c r="H173" s="59">
        <f>PRODUCT(SEMANAL!$D33,H$162)/340+PRODUCT(SEMANAL!$B33,H$163)/340</f>
        <v>0</v>
      </c>
      <c r="I173" s="59">
        <f>PRODUCT(SEMANAL!$D33,I$162)/340+PRODUCT(SEMANAL!$B33,I$163)/340</f>
        <v>0</v>
      </c>
      <c r="J173" s="59">
        <f>PRODUCT(SEMANAL!$D33,J$162)/340+PRODUCT(SEMANAL!$B33,J$163)/340</f>
        <v>0</v>
      </c>
      <c r="K173" s="59">
        <f>PRODUCT(SEMANAL!$D33,K$162)/340+PRODUCT(SEMANAL!$B33,K$163)/340</f>
        <v>0</v>
      </c>
      <c r="L173" s="59">
        <f>PRODUCT(SEMANAL!$D33,L$162)/340+PRODUCT(SEMANAL!$B33,L$163)/340</f>
        <v>0</v>
      </c>
      <c r="M173" s="59">
        <f>PRODUCT(SEMANAL!$D33,M$162)/340+PRODUCT(SEMANAL!$B33,M$163)/340</f>
        <v>0</v>
      </c>
      <c r="N173" s="59">
        <f>PRODUCT(SEMANAL!$D33,N$162)/340+PRODUCT(SEMANAL!$B33,N$163)/340</f>
        <v>0</v>
      </c>
      <c r="O173" s="60">
        <f>SUM('OC SECOS y LAC AZUL 2'!B54:N54)</f>
        <v>0</v>
      </c>
      <c r="P173" s="55">
        <v>518</v>
      </c>
      <c r="Q173" s="33">
        <f t="shared" si="6"/>
        <v>0</v>
      </c>
      <c r="R173" s="20"/>
      <c r="S173" s="20"/>
      <c r="T173" s="20"/>
      <c r="U173" s="21"/>
      <c r="V173" s="1"/>
      <c r="W173" s="1"/>
      <c r="X173" s="1"/>
      <c r="Y173" s="1"/>
      <c r="Z173" s="1"/>
    </row>
    <row r="174" spans="1:26" ht="14.25" customHeight="1">
      <c r="A174" s="22" t="s">
        <v>123</v>
      </c>
      <c r="B174" s="59">
        <f>PRODUCT(SEMANAL!$D34,B$162)/350+PRODUCT(SEMANAL!$B34,B$163)/350</f>
        <v>4.5714285714285712</v>
      </c>
      <c r="C174" s="59">
        <f>PRODUCT(SEMANAL!$D34,C$162)/350+PRODUCT(SEMANAL!$B34,C$163)/350</f>
        <v>13.142857142857142</v>
      </c>
      <c r="D174" s="59">
        <f>PRODUCT(SEMANAL!$D34,D$162)/350+PRODUCT(SEMANAL!$B34,D$163)/350</f>
        <v>0</v>
      </c>
      <c r="E174" s="59">
        <f>PRODUCT(SEMANAL!$D34,E$162)/350+PRODUCT(SEMANAL!$B34,E$163)/350</f>
        <v>0</v>
      </c>
      <c r="F174" s="59">
        <f>PRODUCT(SEMANAL!$D34,F$162)/350+PRODUCT(SEMANAL!$B34,F$163)/350</f>
        <v>1.4857142857142858</v>
      </c>
      <c r="G174" s="59">
        <f>PRODUCT(SEMANAL!$D34,G$162)/350+PRODUCT(SEMANAL!$B34,G$163)/350</f>
        <v>0.11428571428571428</v>
      </c>
      <c r="H174" s="59">
        <f>PRODUCT(SEMANAL!$D34,H$162)/350+PRODUCT(SEMANAL!$B34,H$163)/350</f>
        <v>0</v>
      </c>
      <c r="I174" s="59">
        <f>PRODUCT(SEMANAL!$D34,I$162)/350+PRODUCT(SEMANAL!$B34,I$163)/350</f>
        <v>0</v>
      </c>
      <c r="J174" s="59">
        <f>PRODUCT(SEMANAL!$D34,J$162)/350+PRODUCT(SEMANAL!$B34,J$163)/350</f>
        <v>0</v>
      </c>
      <c r="K174" s="59">
        <f>PRODUCT(SEMANAL!$D34,K$162)/350+PRODUCT(SEMANAL!$B34,K$163)/350</f>
        <v>0</v>
      </c>
      <c r="L174" s="59">
        <f>PRODUCT(SEMANAL!$D34,L$162)/350+PRODUCT(SEMANAL!$B34,L$163)/350</f>
        <v>0</v>
      </c>
      <c r="M174" s="59">
        <f>PRODUCT(SEMANAL!$D34,M$162)/350+PRODUCT(SEMANAL!$B34,M$163)/350</f>
        <v>0</v>
      </c>
      <c r="N174" s="59">
        <f>PRODUCT(SEMANAL!$D34,N$162)/350+PRODUCT(SEMANAL!$B34,N$163)/350</f>
        <v>0.34285714285714286</v>
      </c>
      <c r="O174" s="60">
        <f>SUM('OC SECOS y LAC AZUL 2'!B55:N55)</f>
        <v>16</v>
      </c>
      <c r="P174" s="55">
        <v>736</v>
      </c>
      <c r="Q174" s="33">
        <f t="shared" si="6"/>
        <v>11776</v>
      </c>
      <c r="R174" s="20"/>
      <c r="S174" s="20"/>
      <c r="T174" s="20"/>
      <c r="U174" s="21"/>
      <c r="V174" s="1"/>
      <c r="W174" s="1"/>
      <c r="X174" s="1"/>
      <c r="Y174" s="1"/>
      <c r="Z174" s="1"/>
    </row>
    <row r="175" spans="1:26" ht="14.25" customHeight="1">
      <c r="A175" s="22" t="s">
        <v>124</v>
      </c>
      <c r="B175" s="59">
        <f>PRODUCT(SEMANAL!$D35,B$162)/25+PRODUCT(SEMANAL!$B35,B$163)/25</f>
        <v>0</v>
      </c>
      <c r="C175" s="59">
        <f>PRODUCT(SEMANAL!$D35,C$162)/25+PRODUCT(SEMANAL!$B35,C$163)/25</f>
        <v>0</v>
      </c>
      <c r="D175" s="59">
        <f>PRODUCT(SEMANAL!$D35,D$162)/25+PRODUCT(SEMANAL!$B35,D$163)/25</f>
        <v>0</v>
      </c>
      <c r="E175" s="59">
        <f>PRODUCT(SEMANAL!$D35,E$162)/25+PRODUCT(SEMANAL!$B35,E$163)/25</f>
        <v>0</v>
      </c>
      <c r="F175" s="59">
        <f>PRODUCT(SEMANAL!$D35,F$162)/25+PRODUCT(SEMANAL!$B35,F$163)/25</f>
        <v>0</v>
      </c>
      <c r="G175" s="59">
        <f>PRODUCT(SEMANAL!$D35,G$162)/25+PRODUCT(SEMANAL!$B35,G$163)/25</f>
        <v>0</v>
      </c>
      <c r="H175" s="59">
        <f>PRODUCT(SEMANAL!$D35,H$162)/25+PRODUCT(SEMANAL!$B35,H$163)/25</f>
        <v>0</v>
      </c>
      <c r="I175" s="59">
        <f>PRODUCT(SEMANAL!$D35,I$162)/25+PRODUCT(SEMANAL!$B35,I$163)/25</f>
        <v>0</v>
      </c>
      <c r="J175" s="59">
        <f>PRODUCT(SEMANAL!$D35,J$162)/25+PRODUCT(SEMANAL!$B35,J$163)/25</f>
        <v>0</v>
      </c>
      <c r="K175" s="59">
        <f>PRODUCT(SEMANAL!$D35,K$162)/25+PRODUCT(SEMANAL!$B35,K$163)/25</f>
        <v>0</v>
      </c>
      <c r="L175" s="59">
        <f>PRODUCT(SEMANAL!$D35,L$162)/25+PRODUCT(SEMANAL!$B35,L$163)/25</f>
        <v>0</v>
      </c>
      <c r="M175" s="59">
        <f>PRODUCT(SEMANAL!$D35,M$162)/25+PRODUCT(SEMANAL!$B35,M$163)/25</f>
        <v>0</v>
      </c>
      <c r="N175" s="59">
        <f>PRODUCT(SEMANAL!$D35,N$162)/25+PRODUCT(SEMANAL!$B35,N$163)/25</f>
        <v>0</v>
      </c>
      <c r="O175" s="60">
        <f>SUM('OC SECOS y LAC AZUL 2'!B56:N56)</f>
        <v>0</v>
      </c>
      <c r="P175" s="55">
        <v>919</v>
      </c>
      <c r="Q175" s="33">
        <f t="shared" si="6"/>
        <v>0</v>
      </c>
      <c r="R175" s="20"/>
      <c r="S175" s="20"/>
      <c r="T175" s="20"/>
      <c r="U175" s="21"/>
      <c r="V175" s="1"/>
      <c r="W175" s="1"/>
      <c r="X175" s="1"/>
      <c r="Y175" s="1"/>
      <c r="Z175" s="1"/>
    </row>
    <row r="176" spans="1:26" ht="14.25" customHeight="1">
      <c r="A176" s="22" t="s">
        <v>125</v>
      </c>
      <c r="B176" s="59">
        <f>PRODUCT(SEMANAL!$D36,B$162)/25+PRODUCT(SEMANAL!$B36,B$163)/25</f>
        <v>0</v>
      </c>
      <c r="C176" s="59">
        <f>PRODUCT(SEMANAL!$D36,C$162)/25+PRODUCT(SEMANAL!$B36,C$163)/25</f>
        <v>0</v>
      </c>
      <c r="D176" s="59">
        <f>PRODUCT(SEMANAL!$D36,D$162)/25+PRODUCT(SEMANAL!$B36,D$163)/25</f>
        <v>0</v>
      </c>
      <c r="E176" s="59">
        <f>PRODUCT(SEMANAL!$D36,E$162)/25+PRODUCT(SEMANAL!$B36,E$163)/25</f>
        <v>0</v>
      </c>
      <c r="F176" s="59">
        <f>PRODUCT(SEMANAL!$D36,F$162)/25+PRODUCT(SEMANAL!$B36,F$163)/25</f>
        <v>0</v>
      </c>
      <c r="G176" s="59">
        <f>PRODUCT(SEMANAL!$D36,G$162)/25+PRODUCT(SEMANAL!$B36,G$163)/25</f>
        <v>0</v>
      </c>
      <c r="H176" s="59">
        <f>PRODUCT(SEMANAL!$D36,H$162)/25+PRODUCT(SEMANAL!$B36,H$163)/25</f>
        <v>0</v>
      </c>
      <c r="I176" s="59">
        <f>PRODUCT(SEMANAL!$D36,I$162)/25+PRODUCT(SEMANAL!$B36,I$163)/25</f>
        <v>0</v>
      </c>
      <c r="J176" s="59">
        <f>PRODUCT(SEMANAL!$D36,J$162)/25+PRODUCT(SEMANAL!$B36,J$163)/25</f>
        <v>0</v>
      </c>
      <c r="K176" s="59">
        <f>PRODUCT(SEMANAL!$D36,K$162)/25+PRODUCT(SEMANAL!$B36,K$163)/25</f>
        <v>0</v>
      </c>
      <c r="L176" s="59">
        <f>PRODUCT(SEMANAL!$D36,L$162)/25+PRODUCT(SEMANAL!$B36,L$163)/25</f>
        <v>0</v>
      </c>
      <c r="M176" s="59">
        <f>PRODUCT(SEMANAL!$D36,M$162)/25+PRODUCT(SEMANAL!$B36,M$163)/25</f>
        <v>0</v>
      </c>
      <c r="N176" s="59">
        <f>PRODUCT(SEMANAL!$D36,N$162)/25+PRODUCT(SEMANAL!$B36,N$163)/25</f>
        <v>0</v>
      </c>
      <c r="O176" s="60">
        <f>SUM('OC SECOS y LAC AZUL 2'!B57:N57)</f>
        <v>0</v>
      </c>
      <c r="P176" s="55">
        <v>919</v>
      </c>
      <c r="Q176" s="33">
        <f t="shared" si="6"/>
        <v>0</v>
      </c>
      <c r="R176" s="20"/>
      <c r="S176" s="20"/>
      <c r="T176" s="20"/>
      <c r="U176" s="21"/>
      <c r="V176" s="1"/>
      <c r="W176" s="1"/>
      <c r="X176" s="1"/>
      <c r="Y176" s="1"/>
      <c r="Z176" s="1"/>
    </row>
    <row r="177" spans="1:26" ht="14.25" customHeight="1">
      <c r="A177" s="22" t="s">
        <v>105</v>
      </c>
      <c r="B177" s="59">
        <f>PRODUCT(SEMANAL!$D37,B$162)/25+PRODUCT(SEMANAL!$B36,B$163)/25</f>
        <v>0</v>
      </c>
      <c r="C177" s="59">
        <f>PRODUCT(SEMANAL!$D37,C$162)/25+PRODUCT(SEMANAL!$B36,C$163)/25</f>
        <v>0</v>
      </c>
      <c r="D177" s="59">
        <f>PRODUCT(SEMANAL!$D37,D$162)/25+PRODUCT(SEMANAL!$B36,D$163)/25</f>
        <v>0</v>
      </c>
      <c r="E177" s="59">
        <f>PRODUCT(SEMANAL!$D37,E$162)/25+PRODUCT(SEMANAL!$B36,E$163)/25</f>
        <v>0</v>
      </c>
      <c r="F177" s="59">
        <f>PRODUCT(SEMANAL!$D37,F$162)/25+PRODUCT(SEMANAL!$B36,F$163)/25</f>
        <v>0</v>
      </c>
      <c r="G177" s="59">
        <f>PRODUCT(SEMANAL!$D37,G$162)/25+PRODUCT(SEMANAL!$B36,G$163)/25</f>
        <v>0</v>
      </c>
      <c r="H177" s="59">
        <f>PRODUCT(SEMANAL!$D37,H$162)/25+PRODUCT(SEMANAL!$B36,H$163)/25</f>
        <v>0</v>
      </c>
      <c r="I177" s="59">
        <f>PRODUCT(SEMANAL!$D37,I$162)/25+PRODUCT(SEMANAL!$B36,I$163)/25</f>
        <v>0</v>
      </c>
      <c r="J177" s="59">
        <f>PRODUCT(SEMANAL!$D37,J$162)/25+PRODUCT(SEMANAL!$B36,J$163)/25</f>
        <v>0</v>
      </c>
      <c r="K177" s="59">
        <f>PRODUCT(SEMANAL!$D37,K$162)/25+PRODUCT(SEMANAL!$B36,K$163)/25</f>
        <v>0</v>
      </c>
      <c r="L177" s="59">
        <f>PRODUCT(SEMANAL!$D37,L$162)/25+PRODUCT(SEMANAL!$B36,L$163)/25</f>
        <v>0</v>
      </c>
      <c r="M177" s="59">
        <f>PRODUCT(SEMANAL!$D37,M$162)/25+PRODUCT(SEMANAL!$B36,M$163)/25</f>
        <v>0</v>
      </c>
      <c r="N177" s="59">
        <f>PRODUCT(SEMANAL!$D37,N$162)/25+PRODUCT(SEMANAL!$B36,N$163)/25</f>
        <v>0</v>
      </c>
      <c r="O177" s="60">
        <f>SUM('OC SECOS y LAC AZUL 2'!B58:N58)</f>
        <v>0</v>
      </c>
      <c r="P177" s="55">
        <v>919</v>
      </c>
      <c r="Q177" s="33">
        <f t="shared" si="6"/>
        <v>0</v>
      </c>
      <c r="R177" s="20"/>
      <c r="S177" s="20"/>
      <c r="T177" s="20"/>
      <c r="U177" s="21"/>
      <c r="V177" s="1"/>
      <c r="W177" s="1"/>
      <c r="X177" s="1"/>
      <c r="Y177" s="1"/>
      <c r="Z177" s="1"/>
    </row>
    <row r="178" spans="1:26" ht="14.25" customHeight="1">
      <c r="A178" s="22" t="s">
        <v>126</v>
      </c>
      <c r="B178" s="59">
        <f>PRODUCT(SEMANAL!$D38,B$162)/500+PRODUCT(SEMANAL!$B38,B$163)/500</f>
        <v>0.12</v>
      </c>
      <c r="C178" s="59">
        <f>PRODUCT(SEMANAL!$D38,C$162)/500+PRODUCT(SEMANAL!$B38,C$163)/500</f>
        <v>0.34499999999999997</v>
      </c>
      <c r="D178" s="59">
        <f>PRODUCT(SEMANAL!$D38,D$162)/500+PRODUCT(SEMANAL!$B38,D$163)/500</f>
        <v>0</v>
      </c>
      <c r="E178" s="59">
        <f>PRODUCT(SEMANAL!$D38,E$162)/500+PRODUCT(SEMANAL!$B38,E$163)/500</f>
        <v>0</v>
      </c>
      <c r="F178" s="59">
        <f>PRODUCT(SEMANAL!$D38,F$162)/500+PRODUCT(SEMANAL!$B38,F$163)/500</f>
        <v>3.9E-2</v>
      </c>
      <c r="G178" s="59">
        <f>PRODUCT(SEMANAL!$D38,G$162)/500+PRODUCT(SEMANAL!$B38,G$163)/500</f>
        <v>3.0000000000000001E-3</v>
      </c>
      <c r="H178" s="59">
        <f>PRODUCT(SEMANAL!$D38,H$162)/500+PRODUCT(SEMANAL!$B38,H$163)/500</f>
        <v>0</v>
      </c>
      <c r="I178" s="59">
        <f>PRODUCT(SEMANAL!$D38,I$162)/500+PRODUCT(SEMANAL!$B38,I$163)/500</f>
        <v>0</v>
      </c>
      <c r="J178" s="59">
        <f>PRODUCT(SEMANAL!$D38,J$162)/500+PRODUCT(SEMANAL!$B38,J$163)/500</f>
        <v>0</v>
      </c>
      <c r="K178" s="59">
        <f>PRODUCT(SEMANAL!$D38,K$162)/500+PRODUCT(SEMANAL!$B38,K$163)/500</f>
        <v>0</v>
      </c>
      <c r="L178" s="59">
        <f>PRODUCT(SEMANAL!$D38,L$162)/500+PRODUCT(SEMANAL!$B38,L$163)/500</f>
        <v>0</v>
      </c>
      <c r="M178" s="59">
        <f>PRODUCT(SEMANAL!$D38,M$162)/500+PRODUCT(SEMANAL!$B38,M$163)/500</f>
        <v>0</v>
      </c>
      <c r="N178" s="59">
        <f>PRODUCT(SEMANAL!$D38,N$162)/500+PRODUCT(SEMANAL!$B38,N$163)/500</f>
        <v>8.9999999999999993E-3</v>
      </c>
      <c r="O178" s="60">
        <f>SUM('OC SECOS y LAC AZUL 2'!B59:N59)</f>
        <v>1</v>
      </c>
      <c r="P178" s="55">
        <v>650</v>
      </c>
      <c r="Q178" s="33">
        <f t="shared" si="6"/>
        <v>650</v>
      </c>
      <c r="R178" s="20"/>
      <c r="S178" s="20"/>
      <c r="T178" s="20"/>
      <c r="U178" s="21"/>
      <c r="V178" s="1"/>
      <c r="W178" s="1"/>
      <c r="X178" s="1"/>
      <c r="Y178" s="1"/>
      <c r="Z178" s="1"/>
    </row>
    <row r="179" spans="1:26" ht="14.25" customHeight="1">
      <c r="A179" s="22" t="s">
        <v>127</v>
      </c>
      <c r="B179" s="59">
        <f>PRODUCT(SEMANAL!$D39,B$162)/500+PRODUCT(SEMANAL!$B39,B$163)/500</f>
        <v>5.6</v>
      </c>
      <c r="C179" s="59">
        <f>PRODUCT(SEMANAL!$D39,C$162)/500+PRODUCT(SEMANAL!$B39,C$163)/500</f>
        <v>16.100000000000001</v>
      </c>
      <c r="D179" s="59">
        <f>PRODUCT(SEMANAL!$D39,D$162)/500+PRODUCT(SEMANAL!$B39,D$163)/500</f>
        <v>0</v>
      </c>
      <c r="E179" s="59">
        <f>PRODUCT(SEMANAL!$D39,E$162)/500+PRODUCT(SEMANAL!$B39,E$163)/500</f>
        <v>0</v>
      </c>
      <c r="F179" s="59">
        <f>PRODUCT(SEMANAL!$D39,F$162)/500+PRODUCT(SEMANAL!$B39,F$163)/500</f>
        <v>1.82</v>
      </c>
      <c r="G179" s="59">
        <f>PRODUCT(SEMANAL!$D39,G$162)/500+PRODUCT(SEMANAL!$B39,G$163)/500</f>
        <v>0.14000000000000001</v>
      </c>
      <c r="H179" s="59">
        <f>PRODUCT(SEMANAL!$D39,H$162)/500+PRODUCT(SEMANAL!$B39,H$163)/500</f>
        <v>0</v>
      </c>
      <c r="I179" s="59">
        <f>PRODUCT(SEMANAL!$D39,I$162)/500+PRODUCT(SEMANAL!$B39,I$163)/500</f>
        <v>0</v>
      </c>
      <c r="J179" s="59">
        <f>PRODUCT(SEMANAL!$D39,J$162)/500+PRODUCT(SEMANAL!$B39,J$163)/500</f>
        <v>0</v>
      </c>
      <c r="K179" s="59">
        <f>PRODUCT(SEMANAL!$D39,K$162)/500+PRODUCT(SEMANAL!$B39,K$163)/500</f>
        <v>0</v>
      </c>
      <c r="L179" s="59">
        <f>PRODUCT(SEMANAL!$D39,L$162)/500+PRODUCT(SEMANAL!$B39,L$163)/500</f>
        <v>0</v>
      </c>
      <c r="M179" s="59">
        <f>PRODUCT(SEMANAL!$D39,M$162)/500+PRODUCT(SEMANAL!$B39,M$163)/500</f>
        <v>0</v>
      </c>
      <c r="N179" s="59">
        <f>PRODUCT(SEMANAL!$D39,N$162)/500+PRODUCT(SEMANAL!$B39,N$163)/500</f>
        <v>0.42</v>
      </c>
      <c r="O179" s="60">
        <f>SUM('OC SECOS y LAC AZUL 2'!B60:N60)</f>
        <v>2</v>
      </c>
      <c r="P179" s="55">
        <v>540</v>
      </c>
      <c r="Q179" s="33">
        <f t="shared" si="6"/>
        <v>1080</v>
      </c>
      <c r="R179" s="20"/>
      <c r="S179" s="20"/>
      <c r="T179" s="20"/>
      <c r="U179" s="21"/>
      <c r="V179" s="1"/>
      <c r="W179" s="1"/>
      <c r="X179" s="1"/>
      <c r="Y179" s="1"/>
      <c r="Z179" s="1"/>
    </row>
    <row r="180" spans="1:26" ht="14.25" customHeight="1">
      <c r="A180" s="22" t="s">
        <v>108</v>
      </c>
      <c r="B180" s="59">
        <f>PRODUCT(SEMANAL!$D40,B$162)/500+PRODUCT(SEMANAL!$B40,B$163)/500</f>
        <v>3.6</v>
      </c>
      <c r="C180" s="59">
        <f>PRODUCT(SEMANAL!$D40,C$162)/500+PRODUCT(SEMANAL!$B40,C$163)/500</f>
        <v>10.35</v>
      </c>
      <c r="D180" s="59">
        <f>PRODUCT(SEMANAL!$D40,D$162)/500+PRODUCT(SEMANAL!$B40,D$163)/500</f>
        <v>0</v>
      </c>
      <c r="E180" s="59">
        <f>PRODUCT(SEMANAL!$D40,E$162)/500+PRODUCT(SEMANAL!$B40,E$163)/500</f>
        <v>0</v>
      </c>
      <c r="F180" s="59">
        <f>PRODUCT(SEMANAL!$D40,F$162)/500+PRODUCT(SEMANAL!$B40,F$163)/500</f>
        <v>1.17</v>
      </c>
      <c r="G180" s="59">
        <f>PRODUCT(SEMANAL!$D40,G$162)/500+PRODUCT(SEMANAL!$B40,G$163)/500</f>
        <v>0.09</v>
      </c>
      <c r="H180" s="59">
        <f>PRODUCT(SEMANAL!$D40,H$162)/500+PRODUCT(SEMANAL!$B40,H$163)/500</f>
        <v>0</v>
      </c>
      <c r="I180" s="59">
        <f>PRODUCT(SEMANAL!$D40,I$162)/500+PRODUCT(SEMANAL!$B40,I$163)/500</f>
        <v>0</v>
      </c>
      <c r="J180" s="59">
        <f>PRODUCT(SEMANAL!$D40,J$162)/500+PRODUCT(SEMANAL!$B40,J$163)/500</f>
        <v>0</v>
      </c>
      <c r="K180" s="59">
        <f>PRODUCT(SEMANAL!$D40,K$162)/500+PRODUCT(SEMANAL!$B40,K$163)/500</f>
        <v>0</v>
      </c>
      <c r="L180" s="59">
        <f>PRODUCT(SEMANAL!$D40,L$162)/500+PRODUCT(SEMANAL!$B40,L$163)/500</f>
        <v>0</v>
      </c>
      <c r="M180" s="59">
        <f>PRODUCT(SEMANAL!$D40,M$162)/500+PRODUCT(SEMANAL!$B40,M$163)/500</f>
        <v>0</v>
      </c>
      <c r="N180" s="59">
        <f>PRODUCT(SEMANAL!$D40,N$162)/500+PRODUCT(SEMANAL!$B40,N$163)/500</f>
        <v>0.27</v>
      </c>
      <c r="O180" s="60">
        <f>SUM('OC SECOS y LAC AZUL 2'!B61:N61)</f>
        <v>7</v>
      </c>
      <c r="P180" s="55">
        <v>806</v>
      </c>
      <c r="Q180" s="33">
        <f t="shared" si="6"/>
        <v>5642</v>
      </c>
      <c r="R180" s="20"/>
      <c r="S180" s="20"/>
      <c r="T180" s="20"/>
      <c r="U180" s="21"/>
      <c r="V180" s="1"/>
      <c r="W180" s="1"/>
      <c r="X180" s="1"/>
      <c r="Y180" s="1"/>
      <c r="Z180" s="1"/>
    </row>
    <row r="181" spans="1:26" ht="14.25" customHeight="1">
      <c r="A181" s="61" t="s">
        <v>109</v>
      </c>
      <c r="B181" s="59">
        <f>PRODUCT(SEMANAL!$D41,B$162)/1000+PRODUCT(SEMANAL!$B41,B$163)/1000</f>
        <v>1.4</v>
      </c>
      <c r="C181" s="59">
        <f>PRODUCT(SEMANAL!$D41,C$162)/1000+PRODUCT(SEMANAL!$B41,C$163)/1000</f>
        <v>4.0250000000000004</v>
      </c>
      <c r="D181" s="59">
        <f>PRODUCT(SEMANAL!$D41,D$162)/1000+PRODUCT(SEMANAL!$B41,D$163)/1000</f>
        <v>0</v>
      </c>
      <c r="E181" s="59">
        <f>PRODUCT(SEMANAL!$D41,E$162)/1000+PRODUCT(SEMANAL!$B41,E$163)/1000</f>
        <v>0</v>
      </c>
      <c r="F181" s="59">
        <f>PRODUCT(SEMANAL!$D41,F$162)/1000+PRODUCT(SEMANAL!$B41,F$163)/1000</f>
        <v>0.45500000000000002</v>
      </c>
      <c r="G181" s="59">
        <f>PRODUCT(SEMANAL!$D41,G$162)/1000+PRODUCT(SEMANAL!$B41,G$163)/1000</f>
        <v>3.5000000000000003E-2</v>
      </c>
      <c r="H181" s="59">
        <f>PRODUCT(SEMANAL!$D41,H$162)/1000+PRODUCT(SEMANAL!$B41,H$163)/1000</f>
        <v>0</v>
      </c>
      <c r="I181" s="59">
        <f>PRODUCT(SEMANAL!$D41,I$162)/1000+PRODUCT(SEMANAL!$B41,I$163)/1000</f>
        <v>0</v>
      </c>
      <c r="J181" s="59">
        <f>PRODUCT(SEMANAL!$D41,J$162)/1000+PRODUCT(SEMANAL!$B41,J$163)/1000</f>
        <v>0</v>
      </c>
      <c r="K181" s="59">
        <f>PRODUCT(SEMANAL!$D41,K$162)/1000+PRODUCT(SEMANAL!$B41,K$163)/1000</f>
        <v>0</v>
      </c>
      <c r="L181" s="59">
        <f>PRODUCT(SEMANAL!$D41,L$162)/1000+PRODUCT(SEMANAL!$B41,L$163)/1000</f>
        <v>0</v>
      </c>
      <c r="M181" s="59">
        <f>PRODUCT(SEMANAL!$D41,M$162)/1000+PRODUCT(SEMANAL!$B41,M$163)/1000</f>
        <v>0</v>
      </c>
      <c r="N181" s="59">
        <f>PRODUCT(SEMANAL!$D41,N$162)/1000+PRODUCT(SEMANAL!$B41,N$163)/1000</f>
        <v>0.105</v>
      </c>
      <c r="O181" s="60">
        <f>SUM('OC SECOS y LAC AZUL 2'!B62:N62)</f>
        <v>2</v>
      </c>
      <c r="P181" s="55">
        <v>2451</v>
      </c>
      <c r="Q181" s="33">
        <f t="shared" si="6"/>
        <v>4902</v>
      </c>
      <c r="R181" s="20"/>
      <c r="S181" s="20"/>
      <c r="T181" s="20"/>
      <c r="U181" s="21"/>
      <c r="V181" s="1"/>
      <c r="W181" s="1"/>
      <c r="X181" s="1"/>
      <c r="Y181" s="1"/>
      <c r="Z181" s="1"/>
    </row>
    <row r="182" spans="1:26" ht="14.25" customHeight="1">
      <c r="A182" s="61" t="s">
        <v>110</v>
      </c>
      <c r="B182" s="59">
        <f>PRODUCT(SEMANAL!$D42,B$162)/500+PRODUCT(SEMANAL!$B42,B$163)/500</f>
        <v>0.24</v>
      </c>
      <c r="C182" s="59">
        <f>PRODUCT(SEMANAL!$D42,C$162)/500+PRODUCT(SEMANAL!$B42,C$163)/500</f>
        <v>0.69</v>
      </c>
      <c r="D182" s="59">
        <f>PRODUCT(SEMANAL!$D42,D$162)/500+PRODUCT(SEMANAL!$B42,D$163)/500</f>
        <v>0</v>
      </c>
      <c r="E182" s="59">
        <f>PRODUCT(SEMANAL!$D42,E$162)/500+PRODUCT(SEMANAL!$B42,E$163)/500</f>
        <v>0</v>
      </c>
      <c r="F182" s="59">
        <f>PRODUCT(SEMANAL!$D42,F$162)/500+PRODUCT(SEMANAL!$B42,F$163)/500</f>
        <v>7.8E-2</v>
      </c>
      <c r="G182" s="59">
        <f>PRODUCT(SEMANAL!$D42,G$162)/500+PRODUCT(SEMANAL!$B42,G$163)/500</f>
        <v>6.0000000000000001E-3</v>
      </c>
      <c r="H182" s="59">
        <f>PRODUCT(SEMANAL!$D42,H$162)/500+PRODUCT(SEMANAL!$B42,H$163)/500</f>
        <v>0</v>
      </c>
      <c r="I182" s="59">
        <f>PRODUCT(SEMANAL!$D42,I$162)/500+PRODUCT(SEMANAL!$B42,I$163)/500</f>
        <v>0</v>
      </c>
      <c r="J182" s="59">
        <f>PRODUCT(SEMANAL!$D42,J$162)/500+PRODUCT(SEMANAL!$B42,J$163)/500</f>
        <v>0</v>
      </c>
      <c r="K182" s="59">
        <f>PRODUCT(SEMANAL!$D42,K$162)/500+PRODUCT(SEMANAL!$B42,K$163)/500</f>
        <v>0</v>
      </c>
      <c r="L182" s="59">
        <f>PRODUCT(SEMANAL!$D42,L$162)/500+PRODUCT(SEMANAL!$B42,L$163)/500</f>
        <v>0</v>
      </c>
      <c r="M182" s="59">
        <f>PRODUCT(SEMANAL!$D42,M$162)/500+PRODUCT(SEMANAL!$B42,M$163)/500</f>
        <v>0</v>
      </c>
      <c r="N182" s="59">
        <f>PRODUCT(SEMANAL!$D42,N$162)/500+PRODUCT(SEMANAL!$B42,N$163)/500</f>
        <v>1.7999999999999999E-2</v>
      </c>
      <c r="O182" s="60">
        <f>SUM('OC SECOS y LAC AZUL 2'!B63:N63)</f>
        <v>1</v>
      </c>
      <c r="P182" s="55">
        <v>1869</v>
      </c>
      <c r="Q182" s="33">
        <f t="shared" si="6"/>
        <v>1869</v>
      </c>
      <c r="R182" s="20"/>
      <c r="S182" s="20"/>
      <c r="T182" s="20"/>
      <c r="U182" s="21"/>
      <c r="V182" s="1"/>
      <c r="W182" s="1"/>
      <c r="X182" s="1"/>
      <c r="Y182" s="1"/>
      <c r="Z182" s="1"/>
    </row>
    <row r="183" spans="1:26" ht="14.25" customHeight="1">
      <c r="A183" s="61" t="s">
        <v>111</v>
      </c>
      <c r="B183" s="59">
        <f>PRODUCT(SEMANAL!$D43,B$162)/100+PRODUCT(SEMANAL!$B43,B$163)/100</f>
        <v>0</v>
      </c>
      <c r="C183" s="59">
        <f>PRODUCT(SEMANAL!$D43,C$162)/100+PRODUCT(SEMANAL!$B43,C$163)/100</f>
        <v>0</v>
      </c>
      <c r="D183" s="59">
        <f>PRODUCT(SEMANAL!$D43,D$162)/100+PRODUCT(SEMANAL!$B43,D$163)/100</f>
        <v>0</v>
      </c>
      <c r="E183" s="59">
        <f>PRODUCT(SEMANAL!$D43,E$162)/100+PRODUCT(SEMANAL!$B43,E$163)/100</f>
        <v>0</v>
      </c>
      <c r="F183" s="59">
        <f>PRODUCT(SEMANAL!$D43,F$162)/100+PRODUCT(SEMANAL!$B43,F$163)/100</f>
        <v>0</v>
      </c>
      <c r="G183" s="59">
        <f>PRODUCT(SEMANAL!$D43,G$162)/100+PRODUCT(SEMANAL!$B43,G$163)/100</f>
        <v>0</v>
      </c>
      <c r="H183" s="59">
        <f>PRODUCT(SEMANAL!$D43,H$162)/100+PRODUCT(SEMANAL!$B43,H$163)/100</f>
        <v>0</v>
      </c>
      <c r="I183" s="59">
        <f>PRODUCT(SEMANAL!$D43,I$162)/100+PRODUCT(SEMANAL!$B43,I$163)/100</f>
        <v>0</v>
      </c>
      <c r="J183" s="59">
        <f>PRODUCT(SEMANAL!$D43,J$162)/100+PRODUCT(SEMANAL!$B43,J$163)/100</f>
        <v>0</v>
      </c>
      <c r="K183" s="59">
        <f>PRODUCT(SEMANAL!$D43,K$162)/100+PRODUCT(SEMANAL!$B43,K$163)/100</f>
        <v>0</v>
      </c>
      <c r="L183" s="59">
        <f>PRODUCT(SEMANAL!$D43,L$162)/100+PRODUCT(SEMANAL!$B43,L$163)/100</f>
        <v>0</v>
      </c>
      <c r="M183" s="59">
        <f>PRODUCT(SEMANAL!$D43,M$162)/100+PRODUCT(SEMANAL!$B43,M$163)/100</f>
        <v>0</v>
      </c>
      <c r="N183" s="59">
        <f>PRODUCT(SEMANAL!$D43,N$162)/100+PRODUCT(SEMANAL!$B43,N$163)/100</f>
        <v>0</v>
      </c>
      <c r="O183" s="60">
        <f>SUM('OC SECOS y LAC AZUL 2'!B64:N64)</f>
        <v>0</v>
      </c>
      <c r="P183" s="55">
        <v>1625</v>
      </c>
      <c r="Q183" s="33">
        <f t="shared" si="6"/>
        <v>0</v>
      </c>
      <c r="R183" s="20"/>
      <c r="S183" s="20"/>
      <c r="T183" s="20"/>
      <c r="U183" s="21"/>
      <c r="V183" s="1"/>
      <c r="W183" s="1"/>
      <c r="X183" s="1"/>
      <c r="Y183" s="1"/>
      <c r="Z183" s="1"/>
    </row>
    <row r="184" spans="1:26" ht="14.25" customHeight="1">
      <c r="A184" s="61" t="s">
        <v>112</v>
      </c>
      <c r="B184" s="59">
        <f>PRODUCT(SEMANAL!$D44,B$162)/1000+PRODUCT(SEMANAL!$B44,B$163)/1000</f>
        <v>2</v>
      </c>
      <c r="C184" s="59">
        <f>PRODUCT(SEMANAL!$D44,C$162)/1000+PRODUCT(SEMANAL!$B44,C$163)/1000</f>
        <v>5.75</v>
      </c>
      <c r="D184" s="59">
        <f>PRODUCT(SEMANAL!$D44,D$162)/1000+PRODUCT(SEMANAL!$B44,D$163)/1000</f>
        <v>0</v>
      </c>
      <c r="E184" s="59">
        <f>PRODUCT(SEMANAL!$D44,E$162)/1000+PRODUCT(SEMANAL!$B44,E$163)/1000</f>
        <v>0</v>
      </c>
      <c r="F184" s="59">
        <f>PRODUCT(SEMANAL!$D44,F$162)/1000+PRODUCT(SEMANAL!$B44,F$163)/1000</f>
        <v>0.65</v>
      </c>
      <c r="G184" s="59">
        <f>PRODUCT(SEMANAL!$D44,G$162)/1000+PRODUCT(SEMANAL!$B44,G$163)/1000</f>
        <v>0.05</v>
      </c>
      <c r="H184" s="59">
        <f>PRODUCT(SEMANAL!$D44,H$162)/1000+PRODUCT(SEMANAL!$B44,H$163)/1000</f>
        <v>0</v>
      </c>
      <c r="I184" s="59">
        <f>PRODUCT(SEMANAL!$D44,I$162)/1000+PRODUCT(SEMANAL!$B44,I$163)/1000</f>
        <v>0</v>
      </c>
      <c r="J184" s="59">
        <f>PRODUCT(SEMANAL!$D44,J$162)/1000+PRODUCT(SEMANAL!$B44,J$163)/1000</f>
        <v>0</v>
      </c>
      <c r="K184" s="59">
        <f>PRODUCT(SEMANAL!$D44,K$162)/1000+PRODUCT(SEMANAL!$B44,K$163)/1000</f>
        <v>0</v>
      </c>
      <c r="L184" s="59">
        <f>PRODUCT(SEMANAL!$D44,L$162)/1000+PRODUCT(SEMANAL!$B44,L$163)/1000</f>
        <v>0</v>
      </c>
      <c r="M184" s="59">
        <f>PRODUCT(SEMANAL!$D44,M$162)/1000+PRODUCT(SEMANAL!$B44,M$163)/1000</f>
        <v>0</v>
      </c>
      <c r="N184" s="59">
        <f>PRODUCT(SEMANAL!$D44,N$162)/1000+PRODUCT(SEMANAL!$B44,N$163)/1000</f>
        <v>0.15</v>
      </c>
      <c r="O184" s="60">
        <f>SUM('OC SECOS y LAC AZUL 2'!B65:N65)</f>
        <v>8</v>
      </c>
      <c r="P184" s="55">
        <v>949</v>
      </c>
      <c r="Q184" s="33">
        <f t="shared" si="6"/>
        <v>7592</v>
      </c>
      <c r="R184" s="20"/>
      <c r="S184" s="20"/>
      <c r="T184" s="20"/>
      <c r="U184" s="21"/>
      <c r="V184" s="1"/>
      <c r="W184" s="1"/>
      <c r="X184" s="1"/>
      <c r="Y184" s="1"/>
      <c r="Z184" s="1"/>
    </row>
    <row r="185" spans="1:26" ht="14.25" customHeight="1">
      <c r="A185" s="61" t="s">
        <v>113</v>
      </c>
      <c r="B185" s="59">
        <f>PRODUCT(SEMANAL!$D45,B$162)/1000+PRODUCT(SEMANAL!$B45,B$163)/1000</f>
        <v>3</v>
      </c>
      <c r="C185" s="59">
        <f>PRODUCT(SEMANAL!$D45,C$162)/1000+PRODUCT(SEMANAL!$B45,C$163)/1000</f>
        <v>8.625</v>
      </c>
      <c r="D185" s="59">
        <f>PRODUCT(SEMANAL!$D45,D$162)/1000+PRODUCT(SEMANAL!$B45,D$163)/1000</f>
        <v>0</v>
      </c>
      <c r="E185" s="59">
        <f>PRODUCT(SEMANAL!$D45,E$162)/1000+PRODUCT(SEMANAL!$B45,E$163)/1000</f>
        <v>0</v>
      </c>
      <c r="F185" s="59">
        <f>PRODUCT(SEMANAL!$D45,F$162)/1000+PRODUCT(SEMANAL!$B45,F$163)/1000</f>
        <v>0.97499999999999998</v>
      </c>
      <c r="G185" s="59">
        <f>PRODUCT(SEMANAL!$D45,G$162)/1000+PRODUCT(SEMANAL!$B45,G$163)/1000</f>
        <v>7.4999999999999997E-2</v>
      </c>
      <c r="H185" s="59">
        <f>PRODUCT(SEMANAL!$D45,H$162)/1000+PRODUCT(SEMANAL!$B45,H$163)/1000</f>
        <v>0</v>
      </c>
      <c r="I185" s="59">
        <f>PRODUCT(SEMANAL!$D45,I$162)/1000+PRODUCT(SEMANAL!$B45,I$163)/1000</f>
        <v>0</v>
      </c>
      <c r="J185" s="59">
        <f>PRODUCT(SEMANAL!$D45,J$162)/1000+PRODUCT(SEMANAL!$B45,J$163)/1000</f>
        <v>0</v>
      </c>
      <c r="K185" s="59">
        <f>PRODUCT(SEMANAL!$D45,K$162)/1000+PRODUCT(SEMANAL!$B45,K$163)/1000</f>
        <v>0</v>
      </c>
      <c r="L185" s="59">
        <f>PRODUCT(SEMANAL!$D45,L$162)/1000+PRODUCT(SEMANAL!$B45,L$163)/1000</f>
        <v>0</v>
      </c>
      <c r="M185" s="59">
        <f>PRODUCT(SEMANAL!$D45,M$162)/1000+PRODUCT(SEMANAL!$B45,M$163)/1000</f>
        <v>0</v>
      </c>
      <c r="N185" s="59">
        <f>PRODUCT(SEMANAL!$D45,N$162)/1000+PRODUCT(SEMANAL!$B45,N$163)/1000</f>
        <v>0.22500000000000001</v>
      </c>
      <c r="O185" s="60">
        <f>SUM('OC SECOS y LAC AZUL 2'!B66:N66)</f>
        <v>14</v>
      </c>
      <c r="P185" s="55">
        <v>694</v>
      </c>
      <c r="Q185" s="33">
        <f t="shared" si="6"/>
        <v>9716</v>
      </c>
      <c r="R185" s="20"/>
      <c r="S185" s="20"/>
      <c r="T185" s="20"/>
      <c r="U185" s="21"/>
      <c r="V185" s="1"/>
      <c r="W185" s="1"/>
      <c r="X185" s="1"/>
      <c r="Y185" s="1"/>
      <c r="Z185" s="1"/>
    </row>
    <row r="186" spans="1:26" ht="14.25" customHeight="1">
      <c r="A186" s="61" t="s">
        <v>114</v>
      </c>
      <c r="B186" s="59">
        <f>PRODUCT(SEMANAL!$D46,B$162)/20+PRODUCT(SEMANAL!$B46,B$163)/20</f>
        <v>0.7</v>
      </c>
      <c r="C186" s="59">
        <f>PRODUCT(SEMANAL!$D46,C$162)/20+PRODUCT(SEMANAL!$B46,C$163)/20</f>
        <v>2.0125000000000002</v>
      </c>
      <c r="D186" s="59">
        <f>PRODUCT(SEMANAL!$D46,D$162)/20+PRODUCT(SEMANAL!$B46,D$163)/20</f>
        <v>0</v>
      </c>
      <c r="E186" s="59">
        <f>PRODUCT(SEMANAL!$D46,E$162)/20+PRODUCT(SEMANAL!$B46,E$163)/20</f>
        <v>0</v>
      </c>
      <c r="F186" s="59">
        <f>PRODUCT(SEMANAL!$D46,F$162)/20+PRODUCT(SEMANAL!$B46,F$163)/20</f>
        <v>0.22749999999999998</v>
      </c>
      <c r="G186" s="59">
        <f>PRODUCT(SEMANAL!$D46,G$162)/20+PRODUCT(SEMANAL!$B46,G$163)/20</f>
        <v>1.7499999999999998E-2</v>
      </c>
      <c r="H186" s="59">
        <f>PRODUCT(SEMANAL!$D46,H$162)/20+PRODUCT(SEMANAL!$B46,H$163)/20</f>
        <v>0</v>
      </c>
      <c r="I186" s="59">
        <f>PRODUCT(SEMANAL!$D46,I$162)/20+PRODUCT(SEMANAL!$B46,I$163)/20</f>
        <v>0</v>
      </c>
      <c r="J186" s="59">
        <f>PRODUCT(SEMANAL!$D46,J$162)/20+PRODUCT(SEMANAL!$B46,J$163)/20</f>
        <v>0</v>
      </c>
      <c r="K186" s="59">
        <f>PRODUCT(SEMANAL!$D46,K$162)/20+PRODUCT(SEMANAL!$B46,K$163)/20</f>
        <v>0</v>
      </c>
      <c r="L186" s="59">
        <f>PRODUCT(SEMANAL!$D46,L$162)/20+PRODUCT(SEMANAL!$B46,L$163)/20</f>
        <v>0</v>
      </c>
      <c r="M186" s="59">
        <f>PRODUCT(SEMANAL!$D46,M$162)/20+PRODUCT(SEMANAL!$B46,M$163)/20</f>
        <v>0</v>
      </c>
      <c r="N186" s="59">
        <f>PRODUCT(SEMANAL!$D46,N$162)/20+PRODUCT(SEMANAL!$B46,N$163)/20</f>
        <v>5.2499999999999991E-2</v>
      </c>
      <c r="O186" s="60">
        <f>SUM('OC SECOS y LAC AZUL 2'!B67:N67)</f>
        <v>6</v>
      </c>
      <c r="P186" s="55">
        <v>709</v>
      </c>
      <c r="Q186" s="33">
        <f t="shared" si="6"/>
        <v>4254</v>
      </c>
      <c r="R186" s="20"/>
      <c r="S186" s="20"/>
      <c r="T186" s="20"/>
      <c r="U186" s="21"/>
      <c r="V186" s="1"/>
      <c r="W186" s="1"/>
      <c r="X186" s="1"/>
      <c r="Y186" s="1"/>
      <c r="Z186" s="1"/>
    </row>
    <row r="187" spans="1:26" ht="14.2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60"/>
      <c r="P187" s="55"/>
      <c r="Q187" s="33"/>
      <c r="R187" s="20"/>
      <c r="S187" s="20"/>
      <c r="T187" s="20"/>
      <c r="U187" s="21"/>
      <c r="V187" s="1"/>
      <c r="W187" s="1"/>
      <c r="X187" s="1"/>
      <c r="Y187" s="1"/>
      <c r="Z187" s="1"/>
    </row>
    <row r="188" spans="1:26" ht="14.2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60"/>
      <c r="P188" s="55"/>
      <c r="Q188" s="33"/>
      <c r="R188" s="20"/>
      <c r="S188" s="20"/>
      <c r="T188" s="20"/>
      <c r="U188" s="21"/>
      <c r="V188" s="1"/>
      <c r="W188" s="1"/>
      <c r="X188" s="1"/>
      <c r="Y188" s="1"/>
      <c r="Z188" s="1"/>
    </row>
    <row r="189" spans="1:26" ht="14.2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60"/>
      <c r="P189" s="55" t="s">
        <v>33</v>
      </c>
      <c r="Q189" s="33">
        <f>Q164+Q165+Q166+Q167+Q168+Q169+Q170+Q171+Q172+Q173+Q174+Q175+Q176+Q177+Q178+Q179+Q180+Q181+Q182+Q183+Q184+Q185+Q186</f>
        <v>308325</v>
      </c>
      <c r="R189" s="20"/>
      <c r="S189" s="20"/>
      <c r="T189" s="20"/>
      <c r="U189" s="21"/>
      <c r="V189" s="1"/>
      <c r="W189" s="1"/>
      <c r="X189" s="1"/>
      <c r="Y189" s="1"/>
      <c r="Z189" s="1"/>
    </row>
    <row r="190" spans="1:26" ht="14.25" customHeight="1">
      <c r="A190" s="55"/>
      <c r="B190" s="26" t="s">
        <v>47</v>
      </c>
      <c r="C190" s="26" t="s">
        <v>48</v>
      </c>
      <c r="D190" s="26" t="s">
        <v>49</v>
      </c>
      <c r="E190" s="26" t="s">
        <v>50</v>
      </c>
      <c r="F190" s="26" t="s">
        <v>51</v>
      </c>
      <c r="G190" s="26" t="s">
        <v>52</v>
      </c>
      <c r="H190" s="26" t="s">
        <v>53</v>
      </c>
      <c r="I190" s="26" t="s">
        <v>54</v>
      </c>
      <c r="J190" s="26" t="s">
        <v>54</v>
      </c>
      <c r="K190" s="26" t="s">
        <v>55</v>
      </c>
      <c r="L190" s="26" t="s">
        <v>56</v>
      </c>
      <c r="M190" s="26" t="s">
        <v>56</v>
      </c>
      <c r="N190" s="27" t="s">
        <v>57</v>
      </c>
      <c r="O190" s="60"/>
      <c r="P190" s="55"/>
      <c r="Q190" s="33"/>
      <c r="R190" s="20"/>
      <c r="S190" s="20"/>
      <c r="T190" s="20"/>
      <c r="U190" s="21"/>
      <c r="V190" s="1"/>
      <c r="W190" s="1"/>
      <c r="X190" s="1"/>
      <c r="Y190" s="1"/>
      <c r="Z190" s="1"/>
    </row>
    <row r="191" spans="1:26" ht="14.25" customHeight="1">
      <c r="A191" s="55"/>
      <c r="B191" s="63"/>
      <c r="C191" s="63"/>
      <c r="D191" s="63"/>
      <c r="E191" s="63"/>
      <c r="F191" s="26" t="s">
        <v>58</v>
      </c>
      <c r="G191" s="63"/>
      <c r="H191" s="63"/>
      <c r="I191" s="26" t="s">
        <v>6</v>
      </c>
      <c r="J191" s="26" t="s">
        <v>59</v>
      </c>
      <c r="K191" s="63"/>
      <c r="L191" s="26" t="s">
        <v>60</v>
      </c>
      <c r="M191" s="26" t="s">
        <v>61</v>
      </c>
      <c r="N191" s="26" t="s">
        <v>62</v>
      </c>
      <c r="O191" s="60"/>
      <c r="P191" s="55"/>
      <c r="Q191" s="33"/>
      <c r="R191" s="20"/>
      <c r="S191" s="20"/>
      <c r="T191" s="20"/>
      <c r="U191" s="21"/>
      <c r="V191" s="1"/>
      <c r="W191" s="1"/>
      <c r="X191" s="1"/>
      <c r="Y191" s="1"/>
      <c r="Z191" s="1"/>
    </row>
    <row r="192" spans="1:26" ht="14.25" customHeight="1">
      <c r="A192" s="55"/>
      <c r="B192" s="19">
        <v>167</v>
      </c>
      <c r="C192" s="19">
        <v>148</v>
      </c>
      <c r="D192" s="19">
        <v>7</v>
      </c>
      <c r="E192" s="19">
        <v>178</v>
      </c>
      <c r="F192" s="19">
        <v>108</v>
      </c>
      <c r="G192" s="19">
        <v>35</v>
      </c>
      <c r="H192" s="19">
        <v>149</v>
      </c>
      <c r="I192" s="19">
        <v>99</v>
      </c>
      <c r="J192" s="19">
        <v>33</v>
      </c>
      <c r="K192" s="19">
        <v>150</v>
      </c>
      <c r="L192" s="19">
        <v>123</v>
      </c>
      <c r="M192" s="19">
        <v>78</v>
      </c>
      <c r="N192" s="19">
        <v>170</v>
      </c>
      <c r="O192" s="60"/>
      <c r="P192" s="55"/>
      <c r="Q192" s="33"/>
      <c r="R192" s="20"/>
      <c r="S192" s="20"/>
      <c r="T192" s="20"/>
      <c r="U192" s="21"/>
      <c r="V192" s="1"/>
      <c r="W192" s="1"/>
      <c r="X192" s="1"/>
      <c r="Y192" s="1"/>
      <c r="Z192" s="1"/>
    </row>
    <row r="193" spans="1:26" ht="14.25" customHeight="1">
      <c r="A193" s="55"/>
      <c r="B193" s="19">
        <v>60</v>
      </c>
      <c r="C193" s="19">
        <v>100</v>
      </c>
      <c r="D193" s="19">
        <v>0</v>
      </c>
      <c r="E193" s="19">
        <v>89</v>
      </c>
      <c r="F193" s="19">
        <v>0</v>
      </c>
      <c r="G193" s="19">
        <v>0</v>
      </c>
      <c r="H193" s="19">
        <v>149</v>
      </c>
      <c r="I193" s="19">
        <v>0</v>
      </c>
      <c r="J193" s="19">
        <v>0</v>
      </c>
      <c r="K193" s="19">
        <v>95</v>
      </c>
      <c r="L193" s="19">
        <v>0</v>
      </c>
      <c r="M193" s="19">
        <v>0</v>
      </c>
      <c r="N193" s="19">
        <v>70</v>
      </c>
      <c r="O193" s="60"/>
      <c r="P193" s="55"/>
      <c r="Q193" s="33"/>
      <c r="R193" s="33"/>
      <c r="S193" s="33"/>
      <c r="T193" s="1"/>
      <c r="U193" s="1"/>
      <c r="V193" s="1"/>
      <c r="W193" s="1"/>
      <c r="X193" s="1"/>
      <c r="Y193" s="1"/>
      <c r="Z193" s="1"/>
    </row>
    <row r="194" spans="1:26" ht="14.25" customHeight="1">
      <c r="A194" s="22" t="s">
        <v>128</v>
      </c>
      <c r="B194" s="59">
        <f>PRODUCT(SEMANAL!$D24,B$192)/1000+PRODUCT(SEMANAL!$B24,B$193)/1000</f>
        <v>107.7</v>
      </c>
      <c r="C194" s="59">
        <f>PRODUCT(SEMANAL!$D24,C$192)/1000+PRODUCT(SEMANAL!$B24,C$193)/1000</f>
        <v>101.3</v>
      </c>
      <c r="D194" s="59">
        <f>PRODUCT(SEMANAL!$D24,D$192)/1000+PRODUCT(SEMANAL!$B24,D$193)/1000</f>
        <v>4.2</v>
      </c>
      <c r="E194" s="59">
        <f>PRODUCT(SEMANAL!$D24,E$192)/1000+PRODUCT(SEMANAL!$B24,E$193)/1000</f>
        <v>117.925</v>
      </c>
      <c r="F194" s="59">
        <f>PRODUCT(SEMANAL!$D24,F$192)/1000+PRODUCT(SEMANAL!$B24,F$193)/1000</f>
        <v>64.8</v>
      </c>
      <c r="G194" s="59">
        <f>PRODUCT(SEMANAL!$D24,G$192)/1000+PRODUCT(SEMANAL!$B24,G$193)/1000</f>
        <v>21</v>
      </c>
      <c r="H194" s="59">
        <f>PRODUCT(SEMANAL!$D24,H$192)/1000+PRODUCT(SEMANAL!$B24,H$193)/1000</f>
        <v>108.02500000000001</v>
      </c>
      <c r="I194" s="59">
        <f>PRODUCT(SEMANAL!$D24,I$192)/1000+PRODUCT(SEMANAL!$B24,I$193)/1000</f>
        <v>59.4</v>
      </c>
      <c r="J194" s="59">
        <f>PRODUCT(SEMANAL!$D24,J$192)/1000+PRODUCT(SEMANAL!$B24,J$193)/1000</f>
        <v>19.8</v>
      </c>
      <c r="K194" s="59">
        <f>PRODUCT(SEMANAL!$D24,K$192)/1000+PRODUCT(SEMANAL!$B24,K$193)/1000</f>
        <v>101.875</v>
      </c>
      <c r="L194" s="59">
        <f>PRODUCT(SEMANAL!$D24,L$192)/1000+PRODUCT(SEMANAL!$B24,L$193)/1000</f>
        <v>73.8</v>
      </c>
      <c r="M194" s="59">
        <f>PRODUCT(SEMANAL!$D24,M$192)/1000+PRODUCT(SEMANAL!$B24,M$193)/1000</f>
        <v>46.8</v>
      </c>
      <c r="N194" s="59">
        <f>PRODUCT(SEMANAL!$D24,N$192)/1000+PRODUCT(SEMANAL!$B24,N$193)/1000</f>
        <v>110.75</v>
      </c>
      <c r="O194" s="60">
        <f>SUM('OC SECOS y LAC AZUL 2'!B76:N76)</f>
        <v>346</v>
      </c>
      <c r="P194" s="55">
        <v>1651</v>
      </c>
      <c r="Q194" s="33">
        <f t="shared" ref="Q194:Q216" si="7">O194*P194</f>
        <v>571246</v>
      </c>
      <c r="R194" s="33"/>
      <c r="S194" s="33"/>
      <c r="T194" s="1"/>
      <c r="U194" s="1"/>
      <c r="V194" s="1"/>
      <c r="W194" s="1"/>
      <c r="X194" s="1"/>
      <c r="Y194" s="1"/>
      <c r="Z194" s="1"/>
    </row>
    <row r="195" spans="1:26" ht="14.25" customHeight="1">
      <c r="A195" s="22" t="s">
        <v>129</v>
      </c>
      <c r="B195" s="59">
        <f>PRODUCT(SEMANAL!$D25,B$192)/1000+PRODUCT(SEMANAL!$B25,B$193)/1000</f>
        <v>2.9249999999999998</v>
      </c>
      <c r="C195" s="59">
        <f>PRODUCT(SEMANAL!$D25,C$192)/1000+PRODUCT(SEMANAL!$B25,C$193)/1000</f>
        <v>2.92</v>
      </c>
      <c r="D195" s="59">
        <f>PRODUCT(SEMANAL!$D25,D$192)/1000+PRODUCT(SEMANAL!$B25,D$193)/1000</f>
        <v>0.105</v>
      </c>
      <c r="E195" s="59">
        <f>PRODUCT(SEMANAL!$D25,E$192)/1000+PRODUCT(SEMANAL!$B25,E$193)/1000</f>
        <v>3.2930000000000001</v>
      </c>
      <c r="F195" s="59">
        <f>PRODUCT(SEMANAL!$D25,F$192)/1000+PRODUCT(SEMANAL!$B25,F$193)/1000</f>
        <v>1.62</v>
      </c>
      <c r="G195" s="59">
        <f>PRODUCT(SEMANAL!$D25,G$192)/1000+PRODUCT(SEMANAL!$B25,G$193)/1000</f>
        <v>0.52500000000000002</v>
      </c>
      <c r="H195" s="59">
        <f>PRODUCT(SEMANAL!$D25,H$192)/1000+PRODUCT(SEMANAL!$B25,H$193)/1000</f>
        <v>3.2779999999999996</v>
      </c>
      <c r="I195" s="59">
        <f>PRODUCT(SEMANAL!$D25,I$192)/1000+PRODUCT(SEMANAL!$B25,I$193)/1000</f>
        <v>1.4850000000000001</v>
      </c>
      <c r="J195" s="59">
        <f>PRODUCT(SEMANAL!$D25,J$192)/1000+PRODUCT(SEMANAL!$B25,J$193)/1000</f>
        <v>0.495</v>
      </c>
      <c r="K195" s="59">
        <f>PRODUCT(SEMANAL!$D25,K$192)/1000+PRODUCT(SEMANAL!$B25,K$193)/1000</f>
        <v>2.915</v>
      </c>
      <c r="L195" s="59">
        <f>PRODUCT(SEMANAL!$D25,L$192)/1000+PRODUCT(SEMANAL!$B25,L$193)/1000</f>
        <v>1.845</v>
      </c>
      <c r="M195" s="59">
        <f>PRODUCT(SEMANAL!$D25,M$192)/1000+PRODUCT(SEMANAL!$B25,M$193)/1000</f>
        <v>1.17</v>
      </c>
      <c r="N195" s="59">
        <f>PRODUCT(SEMANAL!$D25,N$192)/1000+PRODUCT(SEMANAL!$B25,N$193)/1000</f>
        <v>3.04</v>
      </c>
      <c r="O195" s="60">
        <f>SUM('OC SECOS y LAC AZUL 2'!B77:N77)</f>
        <v>30</v>
      </c>
      <c r="P195" s="33">
        <v>1274</v>
      </c>
      <c r="Q195" s="33">
        <f t="shared" si="7"/>
        <v>38220</v>
      </c>
      <c r="R195" s="25"/>
      <c r="S195" s="25"/>
      <c r="T195" s="25"/>
      <c r="U195" s="1"/>
      <c r="V195" s="1"/>
      <c r="W195" s="1"/>
      <c r="X195" s="1"/>
      <c r="Y195" s="1"/>
      <c r="Z195" s="1"/>
    </row>
    <row r="196" spans="1:26" ht="14.25" customHeight="1">
      <c r="A196" s="22" t="s">
        <v>130</v>
      </c>
      <c r="B196" s="59">
        <f>PRODUCT(SEMANAL!$D26,B$192)/25+PRODUCT(SEMANAL!$B26,B$193)/25</f>
        <v>10.02</v>
      </c>
      <c r="C196" s="59">
        <f>PRODUCT(SEMANAL!$D26,C$192)/25+PRODUCT(SEMANAL!$B26,C$193)/25</f>
        <v>8.8800000000000008</v>
      </c>
      <c r="D196" s="59">
        <f>PRODUCT(SEMANAL!$D26,D$192)/25+PRODUCT(SEMANAL!$B26,D$193)/25</f>
        <v>0.42</v>
      </c>
      <c r="E196" s="59">
        <f>PRODUCT(SEMANAL!$D26,E$192)/25+PRODUCT(SEMANAL!$B26,E$193)/25</f>
        <v>10.68</v>
      </c>
      <c r="F196" s="59">
        <f>PRODUCT(SEMANAL!$D26,F$192)/25+PRODUCT(SEMANAL!$B26,F$193)/25</f>
        <v>6.48</v>
      </c>
      <c r="G196" s="59">
        <f>PRODUCT(SEMANAL!$D26,G$192)/25+PRODUCT(SEMANAL!$B26,G$193)/25</f>
        <v>2.1</v>
      </c>
      <c r="H196" s="59">
        <f>PRODUCT(SEMANAL!$D26,H$192)/25+PRODUCT(SEMANAL!$B26,H$193)/25</f>
        <v>8.94</v>
      </c>
      <c r="I196" s="59">
        <f>PRODUCT(SEMANAL!$D26,I$192)/25+PRODUCT(SEMANAL!$B26,I$193)/25</f>
        <v>5.94</v>
      </c>
      <c r="J196" s="59">
        <f>PRODUCT(SEMANAL!$D26,J$192)/25+PRODUCT(SEMANAL!$B26,J$193)/25</f>
        <v>1.98</v>
      </c>
      <c r="K196" s="59">
        <f>PRODUCT(SEMANAL!$D26,K$192)/25+PRODUCT(SEMANAL!$B26,K$193)/25</f>
        <v>9</v>
      </c>
      <c r="L196" s="59">
        <f>PRODUCT(SEMANAL!$D26,L$192)/25+PRODUCT(SEMANAL!$B26,L$193)/25</f>
        <v>7.38</v>
      </c>
      <c r="M196" s="59">
        <f>PRODUCT(SEMANAL!$D26,M$192)/25+PRODUCT(SEMANAL!$B26,M$193)/25</f>
        <v>4.68</v>
      </c>
      <c r="N196" s="59">
        <f>PRODUCT(SEMANAL!$D26,N$192)/25+PRODUCT(SEMANAL!$B26,N$193)/25</f>
        <v>10.199999999999999</v>
      </c>
      <c r="O196" s="60">
        <f>SUM('OC SECOS y LAC AZUL 2'!B78:N78)</f>
        <v>19</v>
      </c>
      <c r="P196" s="33">
        <v>536</v>
      </c>
      <c r="Q196" s="33">
        <f t="shared" si="7"/>
        <v>10184</v>
      </c>
      <c r="R196" s="12"/>
      <c r="S196" s="12"/>
      <c r="T196" s="12"/>
      <c r="U196" s="1"/>
      <c r="V196" s="1"/>
      <c r="W196" s="1"/>
      <c r="X196" s="1"/>
      <c r="Y196" s="1"/>
      <c r="Z196" s="1"/>
    </row>
    <row r="197" spans="1:26" ht="14.25" customHeight="1">
      <c r="A197" s="22" t="s">
        <v>95</v>
      </c>
      <c r="B197" s="59">
        <f>PRODUCT(SEMANAL!$D27,B$192)/360+PRODUCT(SEMANAL!$B27,B$193)/360</f>
        <v>9.2777777777777786</v>
      </c>
      <c r="C197" s="59">
        <f>PRODUCT(SEMANAL!$D27,C$192)/360+PRODUCT(SEMANAL!$B27,C$193)/360</f>
        <v>8.2222222222222214</v>
      </c>
      <c r="D197" s="59">
        <f>PRODUCT(SEMANAL!$D27,D$192)/360+PRODUCT(SEMANAL!$B27,D$193)/360</f>
        <v>0.3888888888888889</v>
      </c>
      <c r="E197" s="59">
        <f>PRODUCT(SEMANAL!$D27,E$192)/360+PRODUCT(SEMANAL!$B27,E$193)/360</f>
        <v>9.8888888888888893</v>
      </c>
      <c r="F197" s="59">
        <f>PRODUCT(SEMANAL!$D27,F$192)/360+PRODUCT(SEMANAL!$B27,F$193)/360</f>
        <v>6</v>
      </c>
      <c r="G197" s="59">
        <f>PRODUCT(SEMANAL!$D27,G$192)/360+PRODUCT(SEMANAL!$B27,G$193)/360</f>
        <v>1.9444444444444444</v>
      </c>
      <c r="H197" s="59">
        <f>PRODUCT(SEMANAL!$D27,H$192)/360+PRODUCT(SEMANAL!$B27,H$193)/360</f>
        <v>8.2777777777777786</v>
      </c>
      <c r="I197" s="59">
        <f>PRODUCT(SEMANAL!$D27,I$192)/360+PRODUCT(SEMANAL!$B27,I$193)/360</f>
        <v>5.5</v>
      </c>
      <c r="J197" s="59">
        <f>PRODUCT(SEMANAL!$D27,J$192)/360+PRODUCT(SEMANAL!$B27,J$193)/360</f>
        <v>1.8333333333333333</v>
      </c>
      <c r="K197" s="59">
        <f>PRODUCT(SEMANAL!$D27,K$192)/360+PRODUCT(SEMANAL!$B27,K$193)/360</f>
        <v>8.3333333333333339</v>
      </c>
      <c r="L197" s="59">
        <f>PRODUCT(SEMANAL!$D27,L$192)/360+PRODUCT(SEMANAL!$B27,L$193)/360</f>
        <v>6.833333333333333</v>
      </c>
      <c r="M197" s="59">
        <f>PRODUCT(SEMANAL!$D27,M$192)/360+PRODUCT(SEMANAL!$B27,M$193)/360</f>
        <v>4.333333333333333</v>
      </c>
      <c r="N197" s="59">
        <f>PRODUCT(SEMANAL!$D27,N$192)/360+PRODUCT(SEMANAL!$B27,N$193)/360</f>
        <v>9.4444444444444446</v>
      </c>
      <c r="O197" s="60">
        <f>SUM('OC SECOS y LAC AZUL 2'!B79:N79)</f>
        <v>37</v>
      </c>
      <c r="P197" s="33">
        <v>2141</v>
      </c>
      <c r="Q197" s="33">
        <f t="shared" si="7"/>
        <v>79217</v>
      </c>
      <c r="R197" s="4"/>
      <c r="S197" s="4"/>
      <c r="T197" s="4"/>
      <c r="U197" s="1"/>
      <c r="V197" s="1"/>
      <c r="W197" s="1"/>
      <c r="X197" s="1"/>
      <c r="Y197" s="1"/>
      <c r="Z197" s="1"/>
    </row>
    <row r="198" spans="1:26" ht="14.25" customHeight="1">
      <c r="A198" s="22" t="s">
        <v>131</v>
      </c>
      <c r="B198" s="59">
        <f>PRODUCT(SEMANAL!$D28,B$192)/400+PRODUCT(SEMANAL!$B28,B$193)/400</f>
        <v>12.525</v>
      </c>
      <c r="C198" s="59">
        <f>PRODUCT(SEMANAL!$D28,C$192)/400+PRODUCT(SEMANAL!$B28,C$193)/400</f>
        <v>11.1</v>
      </c>
      <c r="D198" s="59">
        <f>PRODUCT(SEMANAL!$D28,D$192)/400+PRODUCT(SEMANAL!$B28,D$193)/400</f>
        <v>0.52500000000000002</v>
      </c>
      <c r="E198" s="59">
        <f>PRODUCT(SEMANAL!$D28,E$192)/400+PRODUCT(SEMANAL!$B28,E$193)/400</f>
        <v>13.35</v>
      </c>
      <c r="F198" s="59">
        <f>PRODUCT(SEMANAL!$D28,F$192)/400+PRODUCT(SEMANAL!$B28,F$193)/400</f>
        <v>8.1</v>
      </c>
      <c r="G198" s="59">
        <f>PRODUCT(SEMANAL!$D28,G$192)/400+PRODUCT(SEMANAL!$B28,G$193)/400</f>
        <v>2.625</v>
      </c>
      <c r="H198" s="59">
        <f>PRODUCT(SEMANAL!$D28,H$192)/400+PRODUCT(SEMANAL!$B28,H$193)/400</f>
        <v>11.175000000000001</v>
      </c>
      <c r="I198" s="59">
        <f>PRODUCT(SEMANAL!$D28,I$192)/400+PRODUCT(SEMANAL!$B28,I$193)/400</f>
        <v>7.4249999999999998</v>
      </c>
      <c r="J198" s="59">
        <f>PRODUCT(SEMANAL!$D28,J$192)/400+PRODUCT(SEMANAL!$B28,J$193)/400</f>
        <v>2.4750000000000001</v>
      </c>
      <c r="K198" s="59">
        <f>PRODUCT(SEMANAL!$D28,K$192)/400+PRODUCT(SEMANAL!$B28,K$193)/400</f>
        <v>11.25</v>
      </c>
      <c r="L198" s="59">
        <f>PRODUCT(SEMANAL!$D28,L$192)/400+PRODUCT(SEMANAL!$B28,L$193)/400</f>
        <v>9.2249999999999996</v>
      </c>
      <c r="M198" s="59">
        <f>PRODUCT(SEMANAL!$D28,M$192)/400+PRODUCT(SEMANAL!$B28,M$193)/400</f>
        <v>5.85</v>
      </c>
      <c r="N198" s="59">
        <f>PRODUCT(SEMANAL!$D28,N$192)/400+PRODUCT(SEMANAL!$B28,N$193)/400</f>
        <v>12.75</v>
      </c>
      <c r="O198" s="60">
        <f>SUM('OC SECOS y LAC AZUL 2'!B80:N80)</f>
        <v>72</v>
      </c>
      <c r="P198" s="33">
        <v>1755</v>
      </c>
      <c r="Q198" s="33">
        <f t="shared" si="7"/>
        <v>126360</v>
      </c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22" t="s">
        <v>132</v>
      </c>
      <c r="B199" s="59">
        <f>PRODUCT(SEMANAL!$D29,B$192)/1000+PRODUCT(SEMANAL!$B29,B$193)/1000</f>
        <v>3.34</v>
      </c>
      <c r="C199" s="59">
        <f>PRODUCT(SEMANAL!$D29,C$192)/1000+PRODUCT(SEMANAL!$B29,C$193)/1000</f>
        <v>2.96</v>
      </c>
      <c r="D199" s="59">
        <f>PRODUCT(SEMANAL!$D29,D$192)/1000+PRODUCT(SEMANAL!$B29,D$193)/1000</f>
        <v>0.14000000000000001</v>
      </c>
      <c r="E199" s="59">
        <f>PRODUCT(SEMANAL!$D29,E$192)/1000+PRODUCT(SEMANAL!$B29,E$193)/1000</f>
        <v>3.56</v>
      </c>
      <c r="F199" s="59">
        <f>PRODUCT(SEMANAL!$D29,F$192)/1000+PRODUCT(SEMANAL!$B29,F$193)/1000</f>
        <v>2.16</v>
      </c>
      <c r="G199" s="59">
        <f>PRODUCT(SEMANAL!$D29,G$192)/1000+PRODUCT(SEMANAL!$B29,G$193)/1000</f>
        <v>0.7</v>
      </c>
      <c r="H199" s="59">
        <f>PRODUCT(SEMANAL!$D29,H$192)/1000+PRODUCT(SEMANAL!$B29,H$193)/1000</f>
        <v>2.98</v>
      </c>
      <c r="I199" s="59">
        <f>PRODUCT(SEMANAL!$D29,I$192)/1000+PRODUCT(SEMANAL!$B29,I$193)/1000</f>
        <v>1.98</v>
      </c>
      <c r="J199" s="59">
        <f>PRODUCT(SEMANAL!$D29,J$192)/1000+PRODUCT(SEMANAL!$B29,J$193)/1000</f>
        <v>0.66</v>
      </c>
      <c r="K199" s="59">
        <f>PRODUCT(SEMANAL!$D29,K$192)/1000+PRODUCT(SEMANAL!$B29,K$193)/1000</f>
        <v>3</v>
      </c>
      <c r="L199" s="59">
        <f>PRODUCT(SEMANAL!$D29,L$192)/1000+PRODUCT(SEMANAL!$B29,L$193)/1000</f>
        <v>2.46</v>
      </c>
      <c r="M199" s="59">
        <f>PRODUCT(SEMANAL!$D29,M$192)/1000+PRODUCT(SEMANAL!$B29,M$193)/1000</f>
        <v>1.56</v>
      </c>
      <c r="N199" s="59">
        <f>PRODUCT(SEMANAL!$D29,N$192)/1000+PRODUCT(SEMANAL!$B29,N$193)/1000</f>
        <v>3.4</v>
      </c>
      <c r="O199" s="60">
        <f>SUM('OC SECOS y LAC AZUL 2'!B81:N81)</f>
        <v>14</v>
      </c>
      <c r="P199" s="33">
        <v>2125</v>
      </c>
      <c r="Q199" s="33">
        <f t="shared" si="7"/>
        <v>29750</v>
      </c>
      <c r="R199" s="20"/>
      <c r="S199" s="20"/>
      <c r="T199" s="20"/>
      <c r="U199" s="21"/>
      <c r="V199" s="1"/>
      <c r="W199" s="1"/>
      <c r="X199" s="1"/>
      <c r="Y199" s="1"/>
      <c r="Z199" s="1"/>
    </row>
    <row r="200" spans="1:26" ht="14.25" customHeight="1">
      <c r="A200" s="22" t="s">
        <v>98</v>
      </c>
      <c r="B200" s="59">
        <f>PRODUCT(SEMANAL!$D30,B$192)/1000+PRODUCT(SEMANAL!$B30,B$193)/1000</f>
        <v>3</v>
      </c>
      <c r="C200" s="59">
        <f>PRODUCT(SEMANAL!$D30,C$192)/1000+PRODUCT(SEMANAL!$B30,C$193)/1000</f>
        <v>5</v>
      </c>
      <c r="D200" s="59">
        <f>PRODUCT(SEMANAL!$D30,D$192)/1000+PRODUCT(SEMANAL!$B30,D$193)/1000</f>
        <v>0</v>
      </c>
      <c r="E200" s="59">
        <f>PRODUCT(SEMANAL!$D30,E$192)/1000+PRODUCT(SEMANAL!$B30,E$193)/1000</f>
        <v>4.45</v>
      </c>
      <c r="F200" s="59">
        <f>PRODUCT(SEMANAL!$D30,F$192)/1000+PRODUCT(SEMANAL!$B30,F$193)/1000</f>
        <v>0</v>
      </c>
      <c r="G200" s="59">
        <f>PRODUCT(SEMANAL!$D30,G$192)/1000+PRODUCT(SEMANAL!$B30,G$193)/1000</f>
        <v>0</v>
      </c>
      <c r="H200" s="59">
        <f>PRODUCT(SEMANAL!$D30,H$192)/1000+PRODUCT(SEMANAL!$B30,H$193)/1000</f>
        <v>7.45</v>
      </c>
      <c r="I200" s="59">
        <f>PRODUCT(SEMANAL!$D30,I$192)/1000+PRODUCT(SEMANAL!$B30,I$193)/1000</f>
        <v>0</v>
      </c>
      <c r="J200" s="59">
        <f>PRODUCT(SEMANAL!$D30,J$192)/1000+PRODUCT(SEMANAL!$B30,J$193)/1000</f>
        <v>0</v>
      </c>
      <c r="K200" s="59">
        <f>PRODUCT(SEMANAL!$D30,K$192)/1000+PRODUCT(SEMANAL!$B30,K$193)/1000</f>
        <v>4.75</v>
      </c>
      <c r="L200" s="59">
        <f>PRODUCT(SEMANAL!$D30,L$192)/1000+PRODUCT(SEMANAL!$B30,L$193)/1000</f>
        <v>0</v>
      </c>
      <c r="M200" s="59">
        <f>PRODUCT(SEMANAL!$D30,M$192)/1000+PRODUCT(SEMANAL!$B30,M$193)/1000</f>
        <v>0</v>
      </c>
      <c r="N200" s="59">
        <f>PRODUCT(SEMANAL!$D30,N$192)/1000+PRODUCT(SEMANAL!$B30,N$193)/1000</f>
        <v>3.5</v>
      </c>
      <c r="O200" s="60">
        <f>SUM('OC SECOS y LAC AZUL 2'!B82:N82)</f>
        <v>30</v>
      </c>
      <c r="P200" s="33">
        <v>8692</v>
      </c>
      <c r="Q200" s="33">
        <f t="shared" si="7"/>
        <v>260760</v>
      </c>
      <c r="R200" s="20"/>
      <c r="S200" s="20"/>
      <c r="T200" s="20"/>
      <c r="U200" s="21"/>
      <c r="V200" s="1"/>
      <c r="W200" s="1"/>
      <c r="X200" s="1"/>
      <c r="Y200" s="1"/>
      <c r="Z200" s="1"/>
    </row>
    <row r="201" spans="1:26" ht="14.25" customHeight="1">
      <c r="A201" s="22" t="s">
        <v>133</v>
      </c>
      <c r="B201" s="59">
        <f>PRODUCT(SEMANAL!$D31,B$192)/900+PRODUCT(SEMANAL!$B31,B$193)/900</f>
        <v>2</v>
      </c>
      <c r="C201" s="59">
        <f>PRODUCT(SEMANAL!$D31,C$192)/900+PRODUCT(SEMANAL!$B31,C$193)/900</f>
        <v>3.3333333333333335</v>
      </c>
      <c r="D201" s="59">
        <f>PRODUCT(SEMANAL!$D31,D$192)/900+PRODUCT(SEMANAL!$B31,D$193)/900</f>
        <v>0</v>
      </c>
      <c r="E201" s="59">
        <f>PRODUCT(SEMANAL!$D31,E$192)/900+PRODUCT(SEMANAL!$B31,E$193)/900</f>
        <v>2.9666666666666668</v>
      </c>
      <c r="F201" s="59">
        <f>PRODUCT(SEMANAL!$D31,F$192)/900+PRODUCT(SEMANAL!$B31,F$193)/900</f>
        <v>0</v>
      </c>
      <c r="G201" s="59">
        <f>PRODUCT(SEMANAL!$D31,G$192)/900+PRODUCT(SEMANAL!$B31,G$193)/900</f>
        <v>0</v>
      </c>
      <c r="H201" s="59">
        <f>PRODUCT(SEMANAL!$D31,H$192)/900+PRODUCT(SEMANAL!$B31,H$193)/900</f>
        <v>4.9666666666666668</v>
      </c>
      <c r="I201" s="59">
        <f>PRODUCT(SEMANAL!$D31,I$192)/900+PRODUCT(SEMANAL!$B31,I$193)/900</f>
        <v>0</v>
      </c>
      <c r="J201" s="59">
        <f>PRODUCT(SEMANAL!$D31,J$192)/900+PRODUCT(SEMANAL!$B31,J$193)/900</f>
        <v>0</v>
      </c>
      <c r="K201" s="59">
        <f>PRODUCT(SEMANAL!$D31,K$192)/900+PRODUCT(SEMANAL!$B31,K$193)/900</f>
        <v>3.1666666666666665</v>
      </c>
      <c r="L201" s="59">
        <f>PRODUCT(SEMANAL!$D31,L$192)/900+PRODUCT(SEMANAL!$B31,L$193)/900</f>
        <v>0</v>
      </c>
      <c r="M201" s="59">
        <f>PRODUCT(SEMANAL!$D31,M$192)/900+PRODUCT(SEMANAL!$B31,M$193)/900</f>
        <v>0</v>
      </c>
      <c r="N201" s="59">
        <f>PRODUCT(SEMANAL!$D31,N$192)/900+PRODUCT(SEMANAL!$B31,N$193)/900</f>
        <v>2.3333333333333335</v>
      </c>
      <c r="O201" s="60">
        <f>SUM('OC SECOS y LAC AZUL 2'!B83:N83)</f>
        <v>3</v>
      </c>
      <c r="P201" s="33">
        <v>2365</v>
      </c>
      <c r="Q201" s="33">
        <f t="shared" si="7"/>
        <v>7095</v>
      </c>
      <c r="R201" s="20"/>
      <c r="S201" s="20"/>
      <c r="T201" s="20"/>
      <c r="U201" s="21"/>
      <c r="V201" s="1"/>
      <c r="W201" s="1"/>
      <c r="X201" s="1"/>
      <c r="Y201" s="1"/>
      <c r="Z201" s="1"/>
    </row>
    <row r="202" spans="1:26" ht="14.25" customHeight="1">
      <c r="A202" s="22" t="s">
        <v>134</v>
      </c>
      <c r="B202" s="59">
        <f>PRODUCT(SEMANAL!$D32,B$192)/1000+PRODUCT(SEMANAL!$B32,B$193)/1000</f>
        <v>4.8</v>
      </c>
      <c r="C202" s="59">
        <f>PRODUCT(SEMANAL!$D32,C$192)/1000+PRODUCT(SEMANAL!$B32,C$193)/1000</f>
        <v>8</v>
      </c>
      <c r="D202" s="59">
        <f>PRODUCT(SEMANAL!$D32,D$192)/1000+PRODUCT(SEMANAL!$B32,D$193)/1000</f>
        <v>0</v>
      </c>
      <c r="E202" s="59">
        <f>PRODUCT(SEMANAL!$D32,E$192)/1000+PRODUCT(SEMANAL!$B32,E$193)/1000</f>
        <v>7.12</v>
      </c>
      <c r="F202" s="59">
        <f>PRODUCT(SEMANAL!$D32,F$192)/1000+PRODUCT(SEMANAL!$B32,F$193)/1000</f>
        <v>0</v>
      </c>
      <c r="G202" s="59">
        <f>PRODUCT(SEMANAL!$D32,G$192)/1000+PRODUCT(SEMANAL!$B32,G$193)/1000</f>
        <v>0</v>
      </c>
      <c r="H202" s="59">
        <f>PRODUCT(SEMANAL!$D32,H$192)/1000+PRODUCT(SEMANAL!$B32,H$193)/1000</f>
        <v>11.92</v>
      </c>
      <c r="I202" s="59">
        <f>PRODUCT(SEMANAL!$D32,I$192)/1000+PRODUCT(SEMANAL!$B32,I$193)/1000</f>
        <v>0</v>
      </c>
      <c r="J202" s="59">
        <f>PRODUCT(SEMANAL!$D32,J$192)/1000+PRODUCT(SEMANAL!$B32,J$193)/1000</f>
        <v>0</v>
      </c>
      <c r="K202" s="59">
        <f>PRODUCT(SEMANAL!$D32,K$192)/1000+PRODUCT(SEMANAL!$B32,K$193)/1000</f>
        <v>7.6</v>
      </c>
      <c r="L202" s="59">
        <f>PRODUCT(SEMANAL!$D32,L$192)/1000+PRODUCT(SEMANAL!$B32,L$193)/1000</f>
        <v>0</v>
      </c>
      <c r="M202" s="59">
        <f>PRODUCT(SEMANAL!$D32,M$192)/1000+PRODUCT(SEMANAL!$B32,M$193)/1000</f>
        <v>0</v>
      </c>
      <c r="N202" s="59">
        <f>PRODUCT(SEMANAL!$D32,N$192)/1000+PRODUCT(SEMANAL!$B32,N$193)/1000</f>
        <v>5.6</v>
      </c>
      <c r="O202" s="60">
        <f>SUM('OC SECOS y LAC AZUL 2'!B84:N84)</f>
        <v>8</v>
      </c>
      <c r="P202" s="33">
        <v>949</v>
      </c>
      <c r="Q202" s="33">
        <f t="shared" si="7"/>
        <v>7592</v>
      </c>
      <c r="R202" s="20"/>
      <c r="S202" s="20"/>
      <c r="T202" s="20"/>
      <c r="U202" s="21"/>
      <c r="V202" s="1"/>
      <c r="W202" s="1"/>
      <c r="X202" s="1"/>
      <c r="Y202" s="1"/>
      <c r="Z202" s="1"/>
    </row>
    <row r="203" spans="1:26" ht="14.25" customHeight="1">
      <c r="A203" s="22" t="s">
        <v>135</v>
      </c>
      <c r="B203" s="59">
        <f>PRODUCT(SEMANAL!$D33,B$192)/340+PRODUCT(SEMANAL!$B33,B$193)/340</f>
        <v>0</v>
      </c>
      <c r="C203" s="59">
        <f>PRODUCT(SEMANAL!$D33,C$192)/340+PRODUCT(SEMANAL!$B33,C$193)/340</f>
        <v>0</v>
      </c>
      <c r="D203" s="59">
        <f>PRODUCT(SEMANAL!$D33,D$192)/340+PRODUCT(SEMANAL!$B33,D$193)/340</f>
        <v>0</v>
      </c>
      <c r="E203" s="59">
        <f>PRODUCT(SEMANAL!$D33,E$192)/340+PRODUCT(SEMANAL!$B33,E$193)/340</f>
        <v>0</v>
      </c>
      <c r="F203" s="59">
        <f>PRODUCT(SEMANAL!$D33,F$192)/340+PRODUCT(SEMANAL!$B33,F$193)/340</f>
        <v>0</v>
      </c>
      <c r="G203" s="59">
        <f>PRODUCT(SEMANAL!$D33,G$192)/340+PRODUCT(SEMANAL!$B33,G$193)/340</f>
        <v>0</v>
      </c>
      <c r="H203" s="59">
        <f>PRODUCT(SEMANAL!$D33,H$192)/340+PRODUCT(SEMANAL!$B33,H$193)/340</f>
        <v>0</v>
      </c>
      <c r="I203" s="59">
        <f>PRODUCT(SEMANAL!$D33,I$192)/340+PRODUCT(SEMANAL!$B33,I$193)/340</f>
        <v>0</v>
      </c>
      <c r="J203" s="59">
        <f>PRODUCT(SEMANAL!$D33,J$192)/340+PRODUCT(SEMANAL!$B33,J$193)/340</f>
        <v>0</v>
      </c>
      <c r="K203" s="59">
        <f>PRODUCT(SEMANAL!$D33,K$192)/340+PRODUCT(SEMANAL!$B33,K$193)/340</f>
        <v>0</v>
      </c>
      <c r="L203" s="59">
        <f>PRODUCT(SEMANAL!$D33,L$192)/340+PRODUCT(SEMANAL!$B33,L$193)/340</f>
        <v>0</v>
      </c>
      <c r="M203" s="59">
        <f>PRODUCT(SEMANAL!$D33,M$192)/340+PRODUCT(SEMANAL!$B33,M$193)/340</f>
        <v>0</v>
      </c>
      <c r="N203" s="59">
        <f>PRODUCT(SEMANAL!$D33,N$192)/340+PRODUCT(SEMANAL!$B33,N$193)/340</f>
        <v>0</v>
      </c>
      <c r="O203" s="60">
        <f>SUM('OC SECOS y LAC AZUL 2'!B85:N85)</f>
        <v>0</v>
      </c>
      <c r="P203" s="33">
        <v>518</v>
      </c>
      <c r="Q203" s="33">
        <f t="shared" si="7"/>
        <v>0</v>
      </c>
      <c r="R203" s="20"/>
      <c r="S203" s="20"/>
      <c r="T203" s="20"/>
      <c r="U203" s="21"/>
      <c r="V203" s="1"/>
      <c r="W203" s="1"/>
      <c r="X203" s="1"/>
      <c r="Y203" s="1"/>
      <c r="Z203" s="1"/>
    </row>
    <row r="204" spans="1:26" ht="14.25" customHeight="1">
      <c r="A204" s="22" t="s">
        <v>136</v>
      </c>
      <c r="B204" s="59">
        <f>PRODUCT(SEMANAL!$D34,B$192)/350+PRODUCT(SEMANAL!$B34,B$193)/350</f>
        <v>6.8571428571428568</v>
      </c>
      <c r="C204" s="59">
        <f>PRODUCT(SEMANAL!$D34,C$192)/350+PRODUCT(SEMANAL!$B34,C$193)/350</f>
        <v>11.428571428571429</v>
      </c>
      <c r="D204" s="59">
        <f>PRODUCT(SEMANAL!$D34,D$192)/350+PRODUCT(SEMANAL!$B34,D$193)/350</f>
        <v>0</v>
      </c>
      <c r="E204" s="59">
        <f>PRODUCT(SEMANAL!$D34,E$192)/350+PRODUCT(SEMANAL!$B34,E$193)/350</f>
        <v>10.171428571428571</v>
      </c>
      <c r="F204" s="59">
        <f>PRODUCT(SEMANAL!$D34,F$192)/350+PRODUCT(SEMANAL!$B34,F$193)/350</f>
        <v>0</v>
      </c>
      <c r="G204" s="59">
        <f>PRODUCT(SEMANAL!$D34,G$192)/350+PRODUCT(SEMANAL!$B34,G$193)/350</f>
        <v>0</v>
      </c>
      <c r="H204" s="59">
        <f>PRODUCT(SEMANAL!$D34,H$192)/350+PRODUCT(SEMANAL!$B34,H$193)/350</f>
        <v>17.028571428571428</v>
      </c>
      <c r="I204" s="59">
        <f>PRODUCT(SEMANAL!$D34,I$192)/350+PRODUCT(SEMANAL!$B34,I$193)/350</f>
        <v>0</v>
      </c>
      <c r="J204" s="59">
        <f>PRODUCT(SEMANAL!$D34,J$192)/350+PRODUCT(SEMANAL!$B34,J$193)/350</f>
        <v>0</v>
      </c>
      <c r="K204" s="59">
        <f>PRODUCT(SEMANAL!$D34,K$192)/350+PRODUCT(SEMANAL!$B34,K$193)/350</f>
        <v>10.857142857142858</v>
      </c>
      <c r="L204" s="59">
        <f>PRODUCT(SEMANAL!$D34,L$192)/350+PRODUCT(SEMANAL!$B34,L$193)/350</f>
        <v>0</v>
      </c>
      <c r="M204" s="59">
        <f>PRODUCT(SEMANAL!$D34,M$192)/350+PRODUCT(SEMANAL!$B34,M$193)/350</f>
        <v>0</v>
      </c>
      <c r="N204" s="59">
        <f>PRODUCT(SEMANAL!$D34,N$192)/350+PRODUCT(SEMANAL!$B34,N$193)/350</f>
        <v>8</v>
      </c>
      <c r="O204" s="60">
        <f>SUM('OC SECOS y LAC AZUL 2'!B86:N86)</f>
        <v>37</v>
      </c>
      <c r="P204" s="33">
        <v>736</v>
      </c>
      <c r="Q204" s="33">
        <f t="shared" si="7"/>
        <v>27232</v>
      </c>
      <c r="R204" s="20"/>
      <c r="S204" s="20"/>
      <c r="T204" s="20"/>
      <c r="U204" s="21"/>
      <c r="V204" s="1"/>
      <c r="W204" s="1"/>
      <c r="X204" s="1"/>
      <c r="Y204" s="1"/>
      <c r="Z204" s="1"/>
    </row>
    <row r="205" spans="1:26" ht="14.25" customHeight="1">
      <c r="A205" s="22" t="s">
        <v>137</v>
      </c>
      <c r="B205" s="59">
        <f>PRODUCT(SEMANAL!$D35,B$192)/25+PRODUCT(SEMANAL!$B35,B$193)/25</f>
        <v>0</v>
      </c>
      <c r="C205" s="59">
        <f>PRODUCT(SEMANAL!$D35,C$192)/25+PRODUCT(SEMANAL!$B35,C$193)/25</f>
        <v>0</v>
      </c>
      <c r="D205" s="59">
        <f>PRODUCT(SEMANAL!$D35,D$192)/25+PRODUCT(SEMANAL!$B35,D$193)/25</f>
        <v>0</v>
      </c>
      <c r="E205" s="59">
        <f>PRODUCT(SEMANAL!$D35,E$192)/25+PRODUCT(SEMANAL!$B35,E$193)/25</f>
        <v>0</v>
      </c>
      <c r="F205" s="59">
        <f>PRODUCT(SEMANAL!$D35,F$192)/25+PRODUCT(SEMANAL!$B35,F$193)/25</f>
        <v>0</v>
      </c>
      <c r="G205" s="59">
        <f>PRODUCT(SEMANAL!$D35,G$192)/25+PRODUCT(SEMANAL!$B35,G$193)/25</f>
        <v>0</v>
      </c>
      <c r="H205" s="59">
        <f>PRODUCT(SEMANAL!$D35,H$192)/25+PRODUCT(SEMANAL!$B35,H$193)/25</f>
        <v>0</v>
      </c>
      <c r="I205" s="59">
        <f>PRODUCT(SEMANAL!$D35,I$192)/25+PRODUCT(SEMANAL!$B35,I$193)/25</f>
        <v>0</v>
      </c>
      <c r="J205" s="59">
        <f>PRODUCT(SEMANAL!$D35,J$192)/25+PRODUCT(SEMANAL!$B35,J$193)/25</f>
        <v>0</v>
      </c>
      <c r="K205" s="59">
        <f>PRODUCT(SEMANAL!$D35,K$192)/25+PRODUCT(SEMANAL!$B35,K$193)/25</f>
        <v>0</v>
      </c>
      <c r="L205" s="59">
        <f>PRODUCT(SEMANAL!$D35,L$192)/25+PRODUCT(SEMANAL!$B35,L$193)/25</f>
        <v>0</v>
      </c>
      <c r="M205" s="59">
        <f>PRODUCT(SEMANAL!$D35,M$192)/25+PRODUCT(SEMANAL!$B35,M$193)/25</f>
        <v>0</v>
      </c>
      <c r="N205" s="59">
        <f>PRODUCT(SEMANAL!$D35,N$192)/25+PRODUCT(SEMANAL!$B35,N$193)/25</f>
        <v>0</v>
      </c>
      <c r="O205" s="60">
        <f>SUM('OC SECOS y LAC AZUL 2'!B87:N87)</f>
        <v>0</v>
      </c>
      <c r="P205" s="33">
        <v>919</v>
      </c>
      <c r="Q205" s="33">
        <f t="shared" si="7"/>
        <v>0</v>
      </c>
      <c r="R205" s="20"/>
      <c r="S205" s="20"/>
      <c r="T205" s="20"/>
      <c r="U205" s="21"/>
      <c r="V205" s="1"/>
      <c r="W205" s="1"/>
      <c r="X205" s="1"/>
      <c r="Y205" s="1"/>
      <c r="Z205" s="1"/>
    </row>
    <row r="206" spans="1:26" ht="14.25" customHeight="1">
      <c r="A206" s="22" t="s">
        <v>138</v>
      </c>
      <c r="B206" s="59">
        <f>PRODUCT(SEMANAL!$D36,B$192)/25+PRODUCT(SEMANAL!$B36,B$193)/25</f>
        <v>0</v>
      </c>
      <c r="C206" s="59">
        <f>PRODUCT(SEMANAL!$D36,C$192)/25+PRODUCT(SEMANAL!$B36,C$193)/25</f>
        <v>0</v>
      </c>
      <c r="D206" s="59">
        <f>PRODUCT(SEMANAL!$D36,D$192)/25+PRODUCT(SEMANAL!$B36,D$193)/25</f>
        <v>0</v>
      </c>
      <c r="E206" s="59">
        <f>PRODUCT(SEMANAL!$D36,E$192)/25+PRODUCT(SEMANAL!$B36,E$193)/25</f>
        <v>0</v>
      </c>
      <c r="F206" s="59">
        <f>PRODUCT(SEMANAL!$D36,F$192)/25+PRODUCT(SEMANAL!$B36,F$193)/25</f>
        <v>0</v>
      </c>
      <c r="G206" s="59">
        <f>PRODUCT(SEMANAL!$D36,G$192)/25+PRODUCT(SEMANAL!$B36,G$193)/25</f>
        <v>0</v>
      </c>
      <c r="H206" s="59">
        <f>PRODUCT(SEMANAL!$D36,H$192)/25+PRODUCT(SEMANAL!$B36,H$193)/25</f>
        <v>0</v>
      </c>
      <c r="I206" s="59">
        <f>PRODUCT(SEMANAL!$D36,I$192)/25+PRODUCT(SEMANAL!$B36,I$193)/25</f>
        <v>0</v>
      </c>
      <c r="J206" s="59">
        <f>PRODUCT(SEMANAL!$D36,J$192)/25+PRODUCT(SEMANAL!$B36,J$193)/25</f>
        <v>0</v>
      </c>
      <c r="K206" s="59">
        <f>PRODUCT(SEMANAL!$D36,K$192)/25+PRODUCT(SEMANAL!$B36,K$193)/25</f>
        <v>0</v>
      </c>
      <c r="L206" s="59">
        <f>PRODUCT(SEMANAL!$D36,L$192)/25+PRODUCT(SEMANAL!$B36,L$193)/25</f>
        <v>0</v>
      </c>
      <c r="M206" s="59">
        <f>PRODUCT(SEMANAL!$D36,M$192)/25+PRODUCT(SEMANAL!$B36,M$193)/25</f>
        <v>0</v>
      </c>
      <c r="N206" s="59">
        <f>PRODUCT(SEMANAL!$D36,N$192)/25+PRODUCT(SEMANAL!$B36,N$193)/25</f>
        <v>0</v>
      </c>
      <c r="O206" s="60">
        <f>SUM('OC SECOS y LAC AZUL 2'!B88:N88)</f>
        <v>0</v>
      </c>
      <c r="P206" s="33">
        <v>919</v>
      </c>
      <c r="Q206" s="33">
        <f t="shared" si="7"/>
        <v>0</v>
      </c>
      <c r="R206" s="20"/>
      <c r="S206" s="20"/>
      <c r="T206" s="20"/>
      <c r="U206" s="21"/>
      <c r="V206" s="1"/>
      <c r="W206" s="1"/>
      <c r="X206" s="1"/>
      <c r="Y206" s="1"/>
      <c r="Z206" s="1"/>
    </row>
    <row r="207" spans="1:26" ht="14.25" customHeight="1">
      <c r="A207" s="22" t="s">
        <v>105</v>
      </c>
      <c r="B207" s="59">
        <f>PRODUCT(SEMANAL!$D37,B$192)/25+PRODUCT(SEMANAL!$B37,B$193)/25</f>
        <v>3.6</v>
      </c>
      <c r="C207" s="59">
        <f>PRODUCT(SEMANAL!$D37,C$192)/25+PRODUCT(SEMANAL!$B37,C$193)/25</f>
        <v>6</v>
      </c>
      <c r="D207" s="59">
        <f>PRODUCT(SEMANAL!$D37,D$192)/25+PRODUCT(SEMANAL!$B37,D$193)/25</f>
        <v>0</v>
      </c>
      <c r="E207" s="59">
        <f>PRODUCT(SEMANAL!$D37,E$192)/25+PRODUCT(SEMANAL!$B37,E$193)/25</f>
        <v>5.34</v>
      </c>
      <c r="F207" s="59">
        <f>PRODUCT(SEMANAL!$D37,F$192)/25+PRODUCT(SEMANAL!$B37,F$193)/25</f>
        <v>0</v>
      </c>
      <c r="G207" s="59">
        <f>PRODUCT(SEMANAL!$D37,G$192)/25+PRODUCT(SEMANAL!$B37,G$193)/25</f>
        <v>0</v>
      </c>
      <c r="H207" s="59">
        <f>PRODUCT(SEMANAL!$D37,H$192)/25+PRODUCT(SEMANAL!$B37,H$193)/25</f>
        <v>8.94</v>
      </c>
      <c r="I207" s="59">
        <f>PRODUCT(SEMANAL!$D37,I$192)/25+PRODUCT(SEMANAL!$B37,I$193)/25</f>
        <v>0</v>
      </c>
      <c r="J207" s="59">
        <f>PRODUCT(SEMANAL!$D37,J$192)/25+PRODUCT(SEMANAL!$B37,J$193)/25</f>
        <v>0</v>
      </c>
      <c r="K207" s="59">
        <f>PRODUCT(SEMANAL!$D37,K$192)/25+PRODUCT(SEMANAL!$B37,K$193)/25</f>
        <v>5.7</v>
      </c>
      <c r="L207" s="59">
        <f>PRODUCT(SEMANAL!$D37,L$192)/25+PRODUCT(SEMANAL!$B37,L$193)/25</f>
        <v>0</v>
      </c>
      <c r="M207" s="59">
        <f>PRODUCT(SEMANAL!$D37,M$192)/25+PRODUCT(SEMANAL!$B37,M$193)/25</f>
        <v>0</v>
      </c>
      <c r="N207" s="59">
        <f>PRODUCT(SEMANAL!$D37,N$192)/25+PRODUCT(SEMANAL!$B37,N$193)/25</f>
        <v>4.2</v>
      </c>
      <c r="O207" s="60">
        <f>SUM('OC SECOS y LAC AZUL 2'!B89:N89)</f>
        <v>36</v>
      </c>
      <c r="P207" s="33">
        <v>919</v>
      </c>
      <c r="Q207" s="33">
        <f t="shared" si="7"/>
        <v>33084</v>
      </c>
      <c r="R207" s="20"/>
      <c r="S207" s="20"/>
      <c r="T207" s="20"/>
      <c r="U207" s="21"/>
      <c r="V207" s="1"/>
      <c r="W207" s="1"/>
      <c r="X207" s="1"/>
      <c r="Y207" s="1"/>
      <c r="Z207" s="1"/>
    </row>
    <row r="208" spans="1:26" ht="14.25" customHeight="1">
      <c r="A208" s="22" t="s">
        <v>139</v>
      </c>
      <c r="B208" s="59">
        <f>PRODUCT(SEMANAL!$D38,B$192)/500+PRODUCT(SEMANAL!$B38,B$193)/500</f>
        <v>0.18</v>
      </c>
      <c r="C208" s="59">
        <f>PRODUCT(SEMANAL!$D38,C$192)/500+PRODUCT(SEMANAL!$B38,C$193)/500</f>
        <v>0.3</v>
      </c>
      <c r="D208" s="59">
        <f>PRODUCT(SEMANAL!$D38,D$192)/500+PRODUCT(SEMANAL!$B38,D$193)/500</f>
        <v>0</v>
      </c>
      <c r="E208" s="59">
        <f>PRODUCT(SEMANAL!$D38,E$192)/500+PRODUCT(SEMANAL!$B38,E$193)/500</f>
        <v>0.26700000000000002</v>
      </c>
      <c r="F208" s="59">
        <f>PRODUCT(SEMANAL!$D38,F$192)/500+PRODUCT(SEMANAL!$B38,F$193)/500</f>
        <v>0</v>
      </c>
      <c r="G208" s="59">
        <f>PRODUCT(SEMANAL!$D38,G$192)/500+PRODUCT(SEMANAL!$B38,G$193)/500</f>
        <v>0</v>
      </c>
      <c r="H208" s="59">
        <f>PRODUCT(SEMANAL!$D38,H$192)/500+PRODUCT(SEMANAL!$B38,H$193)/500</f>
        <v>0.44700000000000001</v>
      </c>
      <c r="I208" s="59">
        <f>PRODUCT(SEMANAL!$D38,I$192)/500+PRODUCT(SEMANAL!$B38,I$193)/500</f>
        <v>0</v>
      </c>
      <c r="J208" s="59">
        <f>PRODUCT(SEMANAL!$D38,J$192)/500+PRODUCT(SEMANAL!$B38,J$193)/500</f>
        <v>0</v>
      </c>
      <c r="K208" s="59">
        <f>PRODUCT(SEMANAL!$D38,K$192)/500+PRODUCT(SEMANAL!$B38,K$193)/500</f>
        <v>0.28499999999999998</v>
      </c>
      <c r="L208" s="59">
        <f>PRODUCT(SEMANAL!$D38,L$192)/500+PRODUCT(SEMANAL!$B38,L$193)/500</f>
        <v>0</v>
      </c>
      <c r="M208" s="59">
        <f>PRODUCT(SEMANAL!$D38,M$192)/500+PRODUCT(SEMANAL!$B38,M$193)/500</f>
        <v>0</v>
      </c>
      <c r="N208" s="59">
        <f>PRODUCT(SEMANAL!$D38,N$192)/500+PRODUCT(SEMANAL!$B38,N$193)/500</f>
        <v>0.21</v>
      </c>
      <c r="O208" s="60">
        <f>SUM('OC SECOS y LAC AZUL 2'!B90:N90)</f>
        <v>6</v>
      </c>
      <c r="P208" s="33">
        <v>650</v>
      </c>
      <c r="Q208" s="33">
        <f t="shared" si="7"/>
        <v>3900</v>
      </c>
      <c r="R208" s="20"/>
      <c r="S208" s="20"/>
      <c r="T208" s="20"/>
      <c r="U208" s="21"/>
      <c r="V208" s="1"/>
      <c r="W208" s="1"/>
      <c r="X208" s="1"/>
      <c r="Y208" s="1"/>
      <c r="Z208" s="1"/>
    </row>
    <row r="209" spans="1:26" ht="14.25" customHeight="1">
      <c r="A209" s="22" t="s">
        <v>140</v>
      </c>
      <c r="B209" s="59">
        <f>PRODUCT(SEMANAL!$D39,B$192)/500+PRODUCT(SEMANAL!$B39,B$193)/500</f>
        <v>8.4</v>
      </c>
      <c r="C209" s="59">
        <f>PRODUCT(SEMANAL!$D39,C$192)/500+PRODUCT(SEMANAL!$B39,C$193)/500</f>
        <v>14</v>
      </c>
      <c r="D209" s="59">
        <f>PRODUCT(SEMANAL!$D39,D$192)/500+PRODUCT(SEMANAL!$B39,D$193)/500</f>
        <v>0</v>
      </c>
      <c r="E209" s="59">
        <f>PRODUCT(SEMANAL!$D39,E$192)/500+PRODUCT(SEMANAL!$B39,E$193)/500</f>
        <v>12.46</v>
      </c>
      <c r="F209" s="59">
        <f>PRODUCT(SEMANAL!$D39,F$192)/500+PRODUCT(SEMANAL!$B39,F$193)/500</f>
        <v>0</v>
      </c>
      <c r="G209" s="59">
        <f>PRODUCT(SEMANAL!$D39,G$192)/500+PRODUCT(SEMANAL!$B39,G$193)/500</f>
        <v>0</v>
      </c>
      <c r="H209" s="59">
        <f>PRODUCT(SEMANAL!$D39,H$192)/500+PRODUCT(SEMANAL!$B39,H$193)/500</f>
        <v>20.86</v>
      </c>
      <c r="I209" s="59">
        <f>PRODUCT(SEMANAL!$D39,I$192)/500+PRODUCT(SEMANAL!$B39,I$193)/500</f>
        <v>0</v>
      </c>
      <c r="J209" s="59">
        <f>PRODUCT(SEMANAL!$D39,J$192)/500+PRODUCT(SEMANAL!$B39,J$193)/500</f>
        <v>0</v>
      </c>
      <c r="K209" s="59">
        <f>PRODUCT(SEMANAL!$D39,K$192)/500+PRODUCT(SEMANAL!$B39,K$193)/500</f>
        <v>13.3</v>
      </c>
      <c r="L209" s="59">
        <f>PRODUCT(SEMANAL!$D39,L$192)/500+PRODUCT(SEMANAL!$B39,L$193)/500</f>
        <v>0</v>
      </c>
      <c r="M209" s="59">
        <f>PRODUCT(SEMANAL!$D39,M$192)/500+PRODUCT(SEMANAL!$B39,M$193)/500</f>
        <v>0</v>
      </c>
      <c r="N209" s="59">
        <f>PRODUCT(SEMANAL!$D39,N$192)/500+PRODUCT(SEMANAL!$B39,N$193)/500</f>
        <v>9.8000000000000007</v>
      </c>
      <c r="O209" s="60">
        <f>SUM('OC SECOS y LAC AZUL 2'!B91:N91)</f>
        <v>48</v>
      </c>
      <c r="P209" s="33">
        <v>540</v>
      </c>
      <c r="Q209" s="33">
        <f t="shared" si="7"/>
        <v>25920</v>
      </c>
      <c r="R209" s="20"/>
      <c r="S209" s="20"/>
      <c r="T209" s="20"/>
      <c r="U209" s="21"/>
      <c r="V209" s="1"/>
      <c r="W209" s="1"/>
      <c r="X209" s="1"/>
      <c r="Y209" s="1"/>
      <c r="Z209" s="1"/>
    </row>
    <row r="210" spans="1:26" ht="14.25" customHeight="1">
      <c r="A210" s="22" t="s">
        <v>108</v>
      </c>
      <c r="B210" s="59">
        <f>PRODUCT(SEMANAL!$D40,B$192)/500+PRODUCT(SEMANAL!$B40,B$193)/500</f>
        <v>5.4</v>
      </c>
      <c r="C210" s="59">
        <f>PRODUCT(SEMANAL!$D40,C$192)/500+PRODUCT(SEMANAL!$B40,C$193)/500</f>
        <v>9</v>
      </c>
      <c r="D210" s="59">
        <f>PRODUCT(SEMANAL!$D40,D$192)/500+PRODUCT(SEMANAL!$B40,D$193)/500</f>
        <v>0</v>
      </c>
      <c r="E210" s="59">
        <f>PRODUCT(SEMANAL!$D40,E$192)/500+PRODUCT(SEMANAL!$B40,E$193)/500</f>
        <v>8.01</v>
      </c>
      <c r="F210" s="59">
        <f>PRODUCT(SEMANAL!$D40,F$192)/500+PRODUCT(SEMANAL!$B40,F$193)/500</f>
        <v>0</v>
      </c>
      <c r="G210" s="59">
        <f>PRODUCT(SEMANAL!$D40,G$192)/500+PRODUCT(SEMANAL!$B40,G$193)/500</f>
        <v>0</v>
      </c>
      <c r="H210" s="59">
        <f>PRODUCT(SEMANAL!$D40,H$192)/500+PRODUCT(SEMANAL!$B40,H$193)/500</f>
        <v>13.41</v>
      </c>
      <c r="I210" s="59">
        <f>PRODUCT(SEMANAL!$D40,I$192)/500+PRODUCT(SEMANAL!$B40,I$193)/500</f>
        <v>0</v>
      </c>
      <c r="J210" s="59">
        <f>PRODUCT(SEMANAL!$D40,J$192)/500+PRODUCT(SEMANAL!$B40,J$193)/500</f>
        <v>0</v>
      </c>
      <c r="K210" s="59">
        <f>PRODUCT(SEMANAL!$D40,K$192)/500+PRODUCT(SEMANAL!$B40,K$193)/500</f>
        <v>8.5500000000000007</v>
      </c>
      <c r="L210" s="59">
        <f>PRODUCT(SEMANAL!$D40,L$192)/500+PRODUCT(SEMANAL!$B40,L$193)/500</f>
        <v>0</v>
      </c>
      <c r="M210" s="59">
        <f>PRODUCT(SEMANAL!$D40,M$192)/500+PRODUCT(SEMANAL!$B40,M$193)/500</f>
        <v>0</v>
      </c>
      <c r="N210" s="59">
        <f>PRODUCT(SEMANAL!$D40,N$192)/500+PRODUCT(SEMANAL!$B40,N$193)/500</f>
        <v>6.3</v>
      </c>
      <c r="O210" s="60">
        <f>SUM('OC SECOS y LAC AZUL 2'!B92:N92)</f>
        <v>52</v>
      </c>
      <c r="P210" s="33">
        <v>806</v>
      </c>
      <c r="Q210" s="33">
        <f t="shared" si="7"/>
        <v>41912</v>
      </c>
      <c r="R210" s="20"/>
      <c r="S210" s="20"/>
      <c r="T210" s="20"/>
      <c r="U210" s="21"/>
      <c r="V210" s="1"/>
      <c r="W210" s="1"/>
      <c r="X210" s="1"/>
      <c r="Y210" s="1"/>
      <c r="Z210" s="1"/>
    </row>
    <row r="211" spans="1:26" ht="14.25" customHeight="1">
      <c r="A211" s="61" t="s">
        <v>109</v>
      </c>
      <c r="B211" s="59">
        <f>PRODUCT(SEMANAL!$D41,B$192)/1000+PRODUCT(SEMANAL!$B41,B$193)/1000</f>
        <v>2.1</v>
      </c>
      <c r="C211" s="59">
        <f>PRODUCT(SEMANAL!$D41,C$192)/1000+PRODUCT(SEMANAL!$B41,C$193)/1000</f>
        <v>3.5</v>
      </c>
      <c r="D211" s="59">
        <f>PRODUCT(SEMANAL!$D41,D$192)/1000+PRODUCT(SEMANAL!$B41,D$193)/1000</f>
        <v>0</v>
      </c>
      <c r="E211" s="59">
        <f>PRODUCT(SEMANAL!$D41,E$192)/1000+PRODUCT(SEMANAL!$B41,E$193)/1000</f>
        <v>3.1150000000000002</v>
      </c>
      <c r="F211" s="59">
        <f>PRODUCT(SEMANAL!$D41,F$192)/1000+PRODUCT(SEMANAL!$B41,F$193)/1000</f>
        <v>0</v>
      </c>
      <c r="G211" s="59">
        <f>PRODUCT(SEMANAL!$D41,G$192)/1000+PRODUCT(SEMANAL!$B41,G$193)/1000</f>
        <v>0</v>
      </c>
      <c r="H211" s="59">
        <f>PRODUCT(SEMANAL!$D41,H$192)/1000+PRODUCT(SEMANAL!$B41,H$193)/1000</f>
        <v>5.2149999999999999</v>
      </c>
      <c r="I211" s="59">
        <f>PRODUCT(SEMANAL!$D41,I$192)/1000+PRODUCT(SEMANAL!$B41,I$193)/1000</f>
        <v>0</v>
      </c>
      <c r="J211" s="59">
        <f>PRODUCT(SEMANAL!$D41,J$192)/1000+PRODUCT(SEMANAL!$B41,J$193)/1000</f>
        <v>0</v>
      </c>
      <c r="K211" s="59">
        <f>PRODUCT(SEMANAL!$D41,K$192)/1000+PRODUCT(SEMANAL!$B41,K$193)/1000</f>
        <v>3.3250000000000002</v>
      </c>
      <c r="L211" s="59">
        <f>PRODUCT(SEMANAL!$D41,L$192)/1000+PRODUCT(SEMANAL!$B41,L$193)/1000</f>
        <v>0</v>
      </c>
      <c r="M211" s="59">
        <f>PRODUCT(SEMANAL!$D41,M$192)/1000+PRODUCT(SEMANAL!$B41,M$193)/1000</f>
        <v>0</v>
      </c>
      <c r="N211" s="59">
        <f>PRODUCT(SEMANAL!$D41,N$192)/1000+PRODUCT(SEMANAL!$B41,N$193)/1000</f>
        <v>2.4500000000000002</v>
      </c>
      <c r="O211" s="60">
        <f>SUM('OC SECOS y LAC AZUL 2'!B93:N93)</f>
        <v>14</v>
      </c>
      <c r="P211" s="33">
        <v>2451</v>
      </c>
      <c r="Q211" s="33">
        <f t="shared" si="7"/>
        <v>34314</v>
      </c>
      <c r="R211" s="20"/>
      <c r="S211" s="20"/>
      <c r="T211" s="20"/>
      <c r="U211" s="21"/>
      <c r="V211" s="1"/>
      <c r="W211" s="1"/>
      <c r="X211" s="1"/>
      <c r="Y211" s="1"/>
      <c r="Z211" s="1"/>
    </row>
    <row r="212" spans="1:26" ht="14.25" customHeight="1">
      <c r="A212" s="61" t="s">
        <v>110</v>
      </c>
      <c r="B212" s="59">
        <f>PRODUCT(SEMANAL!$D42,B$192)/500+PRODUCT(SEMANAL!$B42,B$193)/500</f>
        <v>0.36</v>
      </c>
      <c r="C212" s="59">
        <f>PRODUCT(SEMANAL!$D42,C$192)/500+PRODUCT(SEMANAL!$B42,C$193)/500</f>
        <v>0.6</v>
      </c>
      <c r="D212" s="59">
        <f>PRODUCT(SEMANAL!$D42,D$192)/500+PRODUCT(SEMANAL!$B42,D$193)/500</f>
        <v>0</v>
      </c>
      <c r="E212" s="59">
        <f>PRODUCT(SEMANAL!$D42,E$192)/500+PRODUCT(SEMANAL!$B42,E$193)/500</f>
        <v>0.53400000000000003</v>
      </c>
      <c r="F212" s="59">
        <f>PRODUCT(SEMANAL!$D42,F$192)/500+PRODUCT(SEMANAL!$B42,F$193)/500</f>
        <v>0</v>
      </c>
      <c r="G212" s="59">
        <f>PRODUCT(SEMANAL!$D42,G$192)/500+PRODUCT(SEMANAL!$B42,G$193)/500</f>
        <v>0</v>
      </c>
      <c r="H212" s="59">
        <f>PRODUCT(SEMANAL!$D42,H$192)/500+PRODUCT(SEMANAL!$B42,H$193)/500</f>
        <v>0.89400000000000002</v>
      </c>
      <c r="I212" s="59">
        <f>PRODUCT(SEMANAL!$D42,I$192)/500+PRODUCT(SEMANAL!$B42,I$193)/500</f>
        <v>0</v>
      </c>
      <c r="J212" s="59">
        <f>PRODUCT(SEMANAL!$D42,J$192)/500+PRODUCT(SEMANAL!$B42,J$193)/500</f>
        <v>0</v>
      </c>
      <c r="K212" s="59">
        <f>PRODUCT(SEMANAL!$D42,K$192)/500+PRODUCT(SEMANAL!$B42,K$193)/500</f>
        <v>0.56999999999999995</v>
      </c>
      <c r="L212" s="59">
        <f>PRODUCT(SEMANAL!$D42,L$192)/500+PRODUCT(SEMANAL!$B42,L$193)/500</f>
        <v>0</v>
      </c>
      <c r="M212" s="59">
        <f>PRODUCT(SEMANAL!$D42,M$192)/500+PRODUCT(SEMANAL!$B42,M$193)/500</f>
        <v>0</v>
      </c>
      <c r="N212" s="59">
        <f>PRODUCT(SEMANAL!$D42,N$192)/500+PRODUCT(SEMANAL!$B42,N$193)/500</f>
        <v>0.42</v>
      </c>
      <c r="O212" s="60">
        <f>SUM('OC SECOS y LAC AZUL 2'!B94:N94)</f>
        <v>1</v>
      </c>
      <c r="P212" s="33">
        <v>1869</v>
      </c>
      <c r="Q212" s="33">
        <f t="shared" si="7"/>
        <v>1869</v>
      </c>
      <c r="R212" s="20"/>
      <c r="S212" s="20"/>
      <c r="T212" s="20"/>
      <c r="U212" s="21"/>
      <c r="V212" s="1"/>
      <c r="W212" s="1"/>
      <c r="X212" s="1"/>
      <c r="Y212" s="1"/>
      <c r="Z212" s="1"/>
    </row>
    <row r="213" spans="1:26" ht="14.25" customHeight="1">
      <c r="A213" s="61" t="s">
        <v>111</v>
      </c>
      <c r="B213" s="59">
        <f>PRODUCT(SEMANAL!$D43,B$192)/100+PRODUCT(SEMANAL!$B43,B$193)/100</f>
        <v>0</v>
      </c>
      <c r="C213" s="59">
        <f>PRODUCT(SEMANAL!$D43,C$192)/100+PRODUCT(SEMANAL!$B43,C$193)/100</f>
        <v>0</v>
      </c>
      <c r="D213" s="59">
        <f>PRODUCT(SEMANAL!$D43,D$192)/100+PRODUCT(SEMANAL!$B43,D$193)/100</f>
        <v>0</v>
      </c>
      <c r="E213" s="59">
        <f>PRODUCT(SEMANAL!$D43,E$192)/100+PRODUCT(SEMANAL!$B43,E$193)/100</f>
        <v>0</v>
      </c>
      <c r="F213" s="59">
        <f>PRODUCT(SEMANAL!$D43,F$192)/100+PRODUCT(SEMANAL!$B43,F$193)/100</f>
        <v>0</v>
      </c>
      <c r="G213" s="59">
        <f>PRODUCT(SEMANAL!$D43,G$192)/100+PRODUCT(SEMANAL!$B43,G$193)/100</f>
        <v>0</v>
      </c>
      <c r="H213" s="59">
        <f>PRODUCT(SEMANAL!$D43,H$192)/100+PRODUCT(SEMANAL!$B43,H$193)/100</f>
        <v>0</v>
      </c>
      <c r="I213" s="59">
        <f>PRODUCT(SEMANAL!$D43,I$192)/100+PRODUCT(SEMANAL!$B43,I$193)/100</f>
        <v>0</v>
      </c>
      <c r="J213" s="59">
        <f>PRODUCT(SEMANAL!$D43,J$192)/100+PRODUCT(SEMANAL!$B43,J$193)/100</f>
        <v>0</v>
      </c>
      <c r="K213" s="59">
        <f>PRODUCT(SEMANAL!$D43,K$192)/100+PRODUCT(SEMANAL!$B43,K$193)/100</f>
        <v>0</v>
      </c>
      <c r="L213" s="59">
        <f>PRODUCT(SEMANAL!$D43,L$192)/100+PRODUCT(SEMANAL!$B43,L$193)/100</f>
        <v>0</v>
      </c>
      <c r="M213" s="59">
        <f>PRODUCT(SEMANAL!$D43,M$192)/100+PRODUCT(SEMANAL!$B43,M$193)/100</f>
        <v>0</v>
      </c>
      <c r="N213" s="59">
        <f>PRODUCT(SEMANAL!$D43,N$192)/100+PRODUCT(SEMANAL!$B43,N$193)/100</f>
        <v>0</v>
      </c>
      <c r="O213" s="60">
        <f>SUM('OC SECOS y LAC AZUL 2'!B95:N95)</f>
        <v>0</v>
      </c>
      <c r="P213" s="33">
        <v>1625</v>
      </c>
      <c r="Q213" s="33">
        <f t="shared" si="7"/>
        <v>0</v>
      </c>
      <c r="R213" s="20"/>
      <c r="S213" s="20"/>
      <c r="T213" s="20"/>
      <c r="U213" s="21"/>
      <c r="V213" s="1"/>
      <c r="W213" s="1"/>
      <c r="X213" s="1"/>
      <c r="Y213" s="1"/>
      <c r="Z213" s="1"/>
    </row>
    <row r="214" spans="1:26" ht="14.25" customHeight="1">
      <c r="A214" s="61" t="s">
        <v>112</v>
      </c>
      <c r="B214" s="59">
        <f>PRODUCT(SEMANAL!$D44,B$192)/1000+PRODUCT(SEMANAL!$B44,B$193)/1000</f>
        <v>3</v>
      </c>
      <c r="C214" s="59">
        <f>PRODUCT(SEMANAL!$D44,C$192)/1000+PRODUCT(SEMANAL!$B44,C$193)/1000</f>
        <v>5</v>
      </c>
      <c r="D214" s="59">
        <f>PRODUCT(SEMANAL!$D44,D$192)/1000+PRODUCT(SEMANAL!$B44,D$193)/1000</f>
        <v>0</v>
      </c>
      <c r="E214" s="59">
        <f>PRODUCT(SEMANAL!$D44,E$192)/1000+PRODUCT(SEMANAL!$B44,E$193)/1000</f>
        <v>4.45</v>
      </c>
      <c r="F214" s="59">
        <f>PRODUCT(SEMANAL!$D44,F$192)/1000+PRODUCT(SEMANAL!$B44,F$193)/1000</f>
        <v>0</v>
      </c>
      <c r="G214" s="59">
        <f>PRODUCT(SEMANAL!$D44,G$192)/1000+PRODUCT(SEMANAL!$B44,G$193)/1000</f>
        <v>0</v>
      </c>
      <c r="H214" s="59">
        <f>PRODUCT(SEMANAL!$D44,H$192)/1000+PRODUCT(SEMANAL!$B44,H$193)/1000</f>
        <v>7.45</v>
      </c>
      <c r="I214" s="59">
        <f>PRODUCT(SEMANAL!$D44,I$192)/1000+PRODUCT(SEMANAL!$B44,I$193)/1000</f>
        <v>0</v>
      </c>
      <c r="J214" s="59">
        <f>PRODUCT(SEMANAL!$D44,J$192)/1000+PRODUCT(SEMANAL!$B44,J$193)/1000</f>
        <v>0</v>
      </c>
      <c r="K214" s="59">
        <f>PRODUCT(SEMANAL!$D44,K$192)/1000+PRODUCT(SEMANAL!$B44,K$193)/1000</f>
        <v>4.75</v>
      </c>
      <c r="L214" s="59">
        <f>PRODUCT(SEMANAL!$D44,L$192)/1000+PRODUCT(SEMANAL!$B44,L$193)/1000</f>
        <v>0</v>
      </c>
      <c r="M214" s="59">
        <f>PRODUCT(SEMANAL!$D44,M$192)/1000+PRODUCT(SEMANAL!$B44,M$193)/1000</f>
        <v>0</v>
      </c>
      <c r="N214" s="59">
        <f>PRODUCT(SEMANAL!$D44,N$192)/1000+PRODUCT(SEMANAL!$B44,N$193)/1000</f>
        <v>3.5</v>
      </c>
      <c r="O214" s="60">
        <f>SUM('OC SECOS y LAC AZUL 2'!B96:N96)</f>
        <v>17</v>
      </c>
      <c r="P214" s="33">
        <v>949</v>
      </c>
      <c r="Q214" s="33">
        <f t="shared" si="7"/>
        <v>16133</v>
      </c>
      <c r="R214" s="20"/>
      <c r="S214" s="20"/>
      <c r="T214" s="20"/>
      <c r="U214" s="21"/>
      <c r="V214" s="1"/>
      <c r="W214" s="1"/>
      <c r="X214" s="1"/>
      <c r="Y214" s="1"/>
      <c r="Z214" s="1"/>
    </row>
    <row r="215" spans="1:26" ht="14.25" customHeight="1">
      <c r="A215" s="61" t="s">
        <v>113</v>
      </c>
      <c r="B215" s="59">
        <f>PRODUCT(SEMANAL!$D45,B$192)/1000+PRODUCT(SEMANAL!$B45,B$193)/1000</f>
        <v>4.5</v>
      </c>
      <c r="C215" s="59">
        <f>PRODUCT(SEMANAL!$D45,C$192)/1000+PRODUCT(SEMANAL!$B45,C$193)/1000</f>
        <v>7.5</v>
      </c>
      <c r="D215" s="59">
        <f>PRODUCT(SEMANAL!$D45,D$192)/1000+PRODUCT(SEMANAL!$B45,D$193)/1000</f>
        <v>0</v>
      </c>
      <c r="E215" s="59">
        <f>PRODUCT(SEMANAL!$D45,E$192)/1000+PRODUCT(SEMANAL!$B45,E$193)/1000</f>
        <v>6.6749999999999998</v>
      </c>
      <c r="F215" s="59">
        <f>PRODUCT(SEMANAL!$D45,F$192)/1000+PRODUCT(SEMANAL!$B45,F$193)/1000</f>
        <v>0</v>
      </c>
      <c r="G215" s="59">
        <f>PRODUCT(SEMANAL!$D45,G$192)/1000+PRODUCT(SEMANAL!$B45,G$193)/1000</f>
        <v>0</v>
      </c>
      <c r="H215" s="59">
        <f>PRODUCT(SEMANAL!$D45,H$192)/1000+PRODUCT(SEMANAL!$B45,H$193)/1000</f>
        <v>11.175000000000001</v>
      </c>
      <c r="I215" s="59">
        <f>PRODUCT(SEMANAL!$D45,I$192)/1000+PRODUCT(SEMANAL!$B45,I$193)/1000</f>
        <v>0</v>
      </c>
      <c r="J215" s="59">
        <f>PRODUCT(SEMANAL!$D45,J$192)/1000+PRODUCT(SEMANAL!$B45,J$193)/1000</f>
        <v>0</v>
      </c>
      <c r="K215" s="59">
        <f>PRODUCT(SEMANAL!$D45,K$192)/1000+PRODUCT(SEMANAL!$B45,K$193)/1000</f>
        <v>7.125</v>
      </c>
      <c r="L215" s="59">
        <f>PRODUCT(SEMANAL!$D45,L$192)/1000+PRODUCT(SEMANAL!$B45,L$193)/1000</f>
        <v>0</v>
      </c>
      <c r="M215" s="59">
        <f>PRODUCT(SEMANAL!$D45,M$192)/1000+PRODUCT(SEMANAL!$B45,M$193)/1000</f>
        <v>0</v>
      </c>
      <c r="N215" s="59">
        <f>PRODUCT(SEMANAL!$D45,N$192)/1000+PRODUCT(SEMANAL!$B45,N$193)/1000</f>
        <v>5.25</v>
      </c>
      <c r="O215" s="60">
        <f>SUM('OC SECOS y LAC AZUL 2'!B97:N97)</f>
        <v>41</v>
      </c>
      <c r="P215" s="33">
        <v>694</v>
      </c>
      <c r="Q215" s="33">
        <f t="shared" si="7"/>
        <v>28454</v>
      </c>
      <c r="R215" s="20"/>
      <c r="S215" s="20"/>
      <c r="T215" s="20"/>
      <c r="U215" s="21"/>
      <c r="V215" s="1"/>
      <c r="W215" s="1"/>
      <c r="X215" s="1"/>
      <c r="Y215" s="1"/>
      <c r="Z215" s="1"/>
    </row>
    <row r="216" spans="1:26" ht="14.25" customHeight="1">
      <c r="A216" s="61" t="s">
        <v>114</v>
      </c>
      <c r="B216" s="59">
        <f>PRODUCT(SEMANAL!$D46,B$192)/20+PRODUCT(SEMANAL!$B46,B$193)/20</f>
        <v>1.05</v>
      </c>
      <c r="C216" s="59">
        <f>PRODUCT(SEMANAL!$D46,C$192)/20+PRODUCT(SEMANAL!$B46,C$193)/20</f>
        <v>1.75</v>
      </c>
      <c r="D216" s="59">
        <f>PRODUCT(SEMANAL!$D46,D$192)/20+PRODUCT(SEMANAL!$B46,D$193)/20</f>
        <v>0</v>
      </c>
      <c r="E216" s="59">
        <f>PRODUCT(SEMANAL!$D46,E$192)/20+PRODUCT(SEMANAL!$B46,E$193)/20</f>
        <v>1.5574999999999999</v>
      </c>
      <c r="F216" s="59">
        <f>PRODUCT(SEMANAL!$D46,F$192)/20+PRODUCT(SEMANAL!$B46,F$193)/20</f>
        <v>0</v>
      </c>
      <c r="G216" s="59">
        <f>PRODUCT(SEMANAL!$D46,G$192)/20+PRODUCT(SEMANAL!$B46,G$193)/20</f>
        <v>0</v>
      </c>
      <c r="H216" s="59">
        <f>PRODUCT(SEMANAL!$D46,H$192)/20+PRODUCT(SEMANAL!$B46,H$193)/20</f>
        <v>2.6074999999999999</v>
      </c>
      <c r="I216" s="59">
        <f>PRODUCT(SEMANAL!$D46,I$192)/20+PRODUCT(SEMANAL!$B46,I$193)/20</f>
        <v>0</v>
      </c>
      <c r="J216" s="59">
        <f>PRODUCT(SEMANAL!$D46,J$192)/20+PRODUCT(SEMANAL!$B46,J$193)/20</f>
        <v>0</v>
      </c>
      <c r="K216" s="59">
        <f>PRODUCT(SEMANAL!$D46,K$192)/20+PRODUCT(SEMANAL!$B46,K$193)/20</f>
        <v>1.6625000000000001</v>
      </c>
      <c r="L216" s="59">
        <f>PRODUCT(SEMANAL!$D46,L$192)/20+PRODUCT(SEMANAL!$B46,L$193)/20</f>
        <v>0</v>
      </c>
      <c r="M216" s="59">
        <f>PRODUCT(SEMANAL!$D46,M$192)/20+PRODUCT(SEMANAL!$B46,M$193)/20</f>
        <v>0</v>
      </c>
      <c r="N216" s="59">
        <f>PRODUCT(SEMANAL!$D46,N$192)/20+PRODUCT(SEMANAL!$B46,N$193)/20</f>
        <v>1.2250000000000001</v>
      </c>
      <c r="O216" s="60">
        <f>SUM('OC SECOS y LAC AZUL 2'!B98:N98)</f>
        <v>11</v>
      </c>
      <c r="P216" s="33">
        <v>709</v>
      </c>
      <c r="Q216" s="33">
        <f t="shared" si="7"/>
        <v>7799</v>
      </c>
      <c r="R216" s="20"/>
      <c r="S216" s="20"/>
      <c r="T216" s="20"/>
      <c r="U216" s="21"/>
      <c r="V216" s="1"/>
      <c r="W216" s="1"/>
      <c r="X216" s="1"/>
      <c r="Y216" s="1"/>
      <c r="Z216" s="1"/>
    </row>
    <row r="217" spans="1:26" ht="14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60"/>
      <c r="P217" s="33"/>
      <c r="Q217" s="33"/>
      <c r="R217" s="20"/>
      <c r="S217" s="20"/>
      <c r="T217" s="20"/>
      <c r="U217" s="21"/>
      <c r="V217" s="1"/>
      <c r="W217" s="1"/>
      <c r="X217" s="1"/>
      <c r="Y217" s="1"/>
      <c r="Z217" s="1"/>
    </row>
    <row r="218" spans="1:26" ht="14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60"/>
      <c r="P218" s="33"/>
      <c r="Q218" s="33"/>
      <c r="R218" s="20"/>
      <c r="S218" s="20"/>
      <c r="T218" s="20"/>
      <c r="U218" s="21"/>
      <c r="V218" s="1"/>
      <c r="W218" s="1"/>
      <c r="X218" s="1"/>
      <c r="Y218" s="1"/>
      <c r="Z218" s="1"/>
    </row>
    <row r="219" spans="1:26" ht="14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60"/>
      <c r="P219" s="33" t="s">
        <v>33</v>
      </c>
      <c r="Q219" s="33">
        <f>Q194+Q195+Q196+Q197+Q198+Q199+Q200+Q201+Q202+Q203+Q204+Q205+Q206+Q207+Q208+Q209+Q210+Q211+Q212+Q213+Q214+Q215+Q216</f>
        <v>1351041</v>
      </c>
      <c r="R219" s="20"/>
      <c r="S219" s="20"/>
      <c r="T219" s="20"/>
      <c r="U219" s="21"/>
      <c r="V219" s="1"/>
      <c r="W219" s="1"/>
      <c r="X219" s="1"/>
      <c r="Y219" s="1"/>
      <c r="Z219" s="1"/>
    </row>
    <row r="220" spans="1:26" ht="14.25" customHeight="1">
      <c r="A220" s="33"/>
      <c r="B220" s="26" t="s">
        <v>63</v>
      </c>
      <c r="C220" s="26" t="s">
        <v>64</v>
      </c>
      <c r="D220" s="26" t="s">
        <v>65</v>
      </c>
      <c r="E220" s="64" t="s">
        <v>66</v>
      </c>
      <c r="F220" s="34" t="s">
        <v>67</v>
      </c>
      <c r="G220" s="65" t="s">
        <v>68</v>
      </c>
      <c r="H220" s="26">
        <v>502</v>
      </c>
      <c r="I220" s="26">
        <v>503</v>
      </c>
      <c r="J220" s="26">
        <v>504</v>
      </c>
      <c r="K220" s="26">
        <v>505</v>
      </c>
      <c r="L220" s="66" t="s">
        <v>69</v>
      </c>
      <c r="M220" s="67" t="s">
        <v>70</v>
      </c>
      <c r="N220" s="67" t="s">
        <v>71</v>
      </c>
      <c r="O220" s="60"/>
      <c r="P220" s="33"/>
      <c r="Q220" s="33"/>
      <c r="R220" s="20"/>
      <c r="S220" s="20"/>
      <c r="T220" s="20"/>
      <c r="U220" s="21"/>
      <c r="V220" s="1"/>
      <c r="W220" s="1"/>
      <c r="X220" s="1"/>
      <c r="Y220" s="1"/>
      <c r="Z220" s="1"/>
    </row>
    <row r="221" spans="1:26" ht="14.25" customHeight="1">
      <c r="A221" s="33"/>
      <c r="B221" s="36" t="s">
        <v>34</v>
      </c>
      <c r="C221" s="37"/>
      <c r="D221" s="37"/>
      <c r="E221" s="36" t="s">
        <v>72</v>
      </c>
      <c r="F221" s="38"/>
      <c r="G221" s="68"/>
      <c r="H221" s="37"/>
      <c r="I221" s="37"/>
      <c r="J221" s="37"/>
      <c r="K221" s="37"/>
      <c r="L221" s="37"/>
      <c r="M221" s="37"/>
      <c r="N221" s="37"/>
      <c r="O221" s="60"/>
      <c r="P221" s="33"/>
      <c r="Q221" s="33"/>
      <c r="R221" s="20"/>
      <c r="S221" s="20"/>
      <c r="T221" s="20"/>
      <c r="U221" s="21"/>
      <c r="V221" s="1"/>
      <c r="W221" s="1"/>
      <c r="X221" s="1"/>
      <c r="Y221" s="1"/>
      <c r="Z221" s="1"/>
    </row>
    <row r="222" spans="1:26" ht="14.25" customHeight="1">
      <c r="A222" s="33"/>
      <c r="B222" s="19">
        <v>68</v>
      </c>
      <c r="C222" s="40">
        <v>566</v>
      </c>
      <c r="D222" s="19">
        <v>850</v>
      </c>
      <c r="E222" s="19">
        <v>121</v>
      </c>
      <c r="F222" s="19">
        <v>100</v>
      </c>
      <c r="G222" s="19">
        <v>108</v>
      </c>
      <c r="H222" s="19">
        <v>124</v>
      </c>
      <c r="I222" s="19">
        <v>46</v>
      </c>
      <c r="J222" s="19">
        <v>50</v>
      </c>
      <c r="K222" s="19">
        <v>104</v>
      </c>
      <c r="L222" s="19">
        <v>60</v>
      </c>
      <c r="M222" s="19">
        <v>42</v>
      </c>
      <c r="N222" s="19">
        <v>103</v>
      </c>
      <c r="O222" s="60"/>
      <c r="P222" s="33"/>
      <c r="Q222" s="33"/>
      <c r="R222" s="20"/>
      <c r="S222" s="20"/>
      <c r="T222" s="20"/>
      <c r="U222" s="21"/>
      <c r="V222" s="1"/>
      <c r="W222" s="1"/>
      <c r="X222" s="1"/>
      <c r="Y222" s="1"/>
      <c r="Z222" s="1"/>
    </row>
    <row r="223" spans="1:26" ht="14.25" customHeight="1">
      <c r="A223" s="33"/>
      <c r="B223" s="19">
        <v>68</v>
      </c>
      <c r="C223" s="41">
        <v>160</v>
      </c>
      <c r="D223" s="19">
        <v>0</v>
      </c>
      <c r="E223" s="19">
        <v>0</v>
      </c>
      <c r="F223" s="19">
        <v>100</v>
      </c>
      <c r="G223" s="19">
        <v>54</v>
      </c>
      <c r="H223" s="19">
        <v>62</v>
      </c>
      <c r="I223" s="19">
        <v>23</v>
      </c>
      <c r="J223" s="19">
        <v>25</v>
      </c>
      <c r="K223" s="19">
        <v>52</v>
      </c>
      <c r="L223" s="19">
        <v>30</v>
      </c>
      <c r="M223" s="19">
        <v>19</v>
      </c>
      <c r="N223" s="19">
        <v>103</v>
      </c>
      <c r="O223" s="60"/>
      <c r="P223" s="33"/>
      <c r="Q223" s="33"/>
      <c r="R223" s="20"/>
      <c r="S223" s="20"/>
      <c r="T223" s="20"/>
      <c r="U223" s="21"/>
      <c r="V223" s="1"/>
      <c r="W223" s="1"/>
      <c r="X223" s="1"/>
      <c r="Y223" s="1"/>
      <c r="Z223" s="1"/>
    </row>
    <row r="224" spans="1:26" ht="14.25" customHeight="1">
      <c r="A224" s="22" t="s">
        <v>141</v>
      </c>
      <c r="B224" s="69">
        <f>PRODUCT(SEMANAL!$D24,B$222)/1000+PRODUCT(SEMANAL!$B24,B$223)/1000</f>
        <v>49.3</v>
      </c>
      <c r="C224" s="69">
        <f>PRODUCT(SEMANAL!$D24,C$222)/1000+PRODUCT(SEMANAL!$B24,C$223)/1000</f>
        <v>359.6</v>
      </c>
      <c r="D224" s="69">
        <f>PRODUCT(SEMANAL!$D24,D$222)/1000+PRODUCT(SEMANAL!$B24,D$223)/1000</f>
        <v>510</v>
      </c>
      <c r="E224" s="69">
        <f>PRODUCT(SEMANAL!$D24,E$222)/1000+PRODUCT(SEMANAL!$B24,E$223)/1000</f>
        <v>72.599999999999994</v>
      </c>
      <c r="F224" s="69">
        <f>PRODUCT(SEMANAL!$D24,F$222)/1000+PRODUCT(SEMANAL!$B24,F$223)/1000</f>
        <v>72.5</v>
      </c>
      <c r="G224" s="69">
        <f>PRODUCT(SEMANAL!$D24,G$222)/1000+PRODUCT(SEMANAL!$B24,G$223)/1000</f>
        <v>71.55</v>
      </c>
      <c r="H224" s="69">
        <f>PRODUCT(SEMANAL!$D24,H$222)/1000+PRODUCT(SEMANAL!$B24,H$223)/1000</f>
        <v>82.15</v>
      </c>
      <c r="I224" s="69">
        <f>PRODUCT(SEMANAL!$D24,I$222)/1000+PRODUCT(SEMANAL!$B24,I$223)/1000</f>
        <v>30.475000000000001</v>
      </c>
      <c r="J224" s="69">
        <f>PRODUCT(SEMANAL!$D24,J$222)/1000+PRODUCT(SEMANAL!$B24,J$223)/1000</f>
        <v>33.125</v>
      </c>
      <c r="K224" s="69">
        <f>PRODUCT(SEMANAL!$D24,K$222)/1000+PRODUCT(SEMANAL!$B24,K$223)/1000</f>
        <v>68.900000000000006</v>
      </c>
      <c r="L224" s="69">
        <f>PRODUCT(SEMANAL!$D24,L$222)/1000+PRODUCT(SEMANAL!$B24,L$223)/1000</f>
        <v>39.75</v>
      </c>
      <c r="M224" s="69">
        <f>PRODUCT(SEMANAL!$D24,M$222)/1000+PRODUCT(SEMANAL!$B24,M$223)/1000</f>
        <v>27.574999999999999</v>
      </c>
      <c r="N224" s="69">
        <f>PRODUCT(SEMANAL!$D24,N$222)/1000+PRODUCT(SEMANAL!$B24,N$223)/1000</f>
        <v>74.674999999999997</v>
      </c>
      <c r="O224" s="60">
        <f>SUM('OC SECOS y LAC AZUL 2'!B107:N107)</f>
        <v>464</v>
      </c>
      <c r="P224" s="33">
        <v>1651</v>
      </c>
      <c r="Q224" s="33">
        <f t="shared" ref="Q224:Q246" si="8">O224*P224</f>
        <v>766064</v>
      </c>
      <c r="R224" s="35"/>
      <c r="S224" s="35"/>
      <c r="T224" s="35"/>
      <c r="U224" s="1"/>
      <c r="V224" s="1"/>
      <c r="W224" s="1"/>
      <c r="X224" s="1"/>
      <c r="Y224" s="21"/>
      <c r="Z224" s="1"/>
    </row>
    <row r="225" spans="1:26" ht="14.25" customHeight="1">
      <c r="A225" s="22" t="s">
        <v>142</v>
      </c>
      <c r="B225" s="69">
        <f>PRODUCT(SEMANAL!$D25,B$222)/1000+PRODUCT(SEMANAL!$B25,B$223)/1000</f>
        <v>1.496</v>
      </c>
      <c r="C225" s="69">
        <f>PRODUCT(SEMANAL!$D25,C$222)/1000+PRODUCT(SEMANAL!$B25,C$223)/1000</f>
        <v>9.61</v>
      </c>
      <c r="D225" s="69">
        <f>PRODUCT(SEMANAL!$D25,D$222)/1000+PRODUCT(SEMANAL!$B25,D$223)/1000</f>
        <v>12.75</v>
      </c>
      <c r="E225" s="69">
        <f>PRODUCT(SEMANAL!$D25,E$222)/1000+PRODUCT(SEMANAL!$B25,E$223)/1000</f>
        <v>1.8149999999999999</v>
      </c>
      <c r="F225" s="69">
        <f>PRODUCT(SEMANAL!$D25,F$222)/1000+PRODUCT(SEMANAL!$B25,F$223)/1000</f>
        <v>2.2000000000000002</v>
      </c>
      <c r="G225" s="69">
        <f>PRODUCT(SEMANAL!$D25,G$222)/1000+PRODUCT(SEMANAL!$B25,G$223)/1000</f>
        <v>1.9980000000000002</v>
      </c>
      <c r="H225" s="69">
        <f>PRODUCT(SEMANAL!$D25,H$222)/1000+PRODUCT(SEMANAL!$B25,H$223)/1000</f>
        <v>2.294</v>
      </c>
      <c r="I225" s="69">
        <f>PRODUCT(SEMANAL!$D25,I$222)/1000+PRODUCT(SEMANAL!$B25,I$223)/1000</f>
        <v>0.85099999999999998</v>
      </c>
      <c r="J225" s="69">
        <f>PRODUCT(SEMANAL!$D25,J$222)/1000+PRODUCT(SEMANAL!$B25,J$223)/1000</f>
        <v>0.92500000000000004</v>
      </c>
      <c r="K225" s="69">
        <f>PRODUCT(SEMANAL!$D25,K$222)/1000+PRODUCT(SEMANAL!$B25,K$223)/1000</f>
        <v>1.9239999999999999</v>
      </c>
      <c r="L225" s="69">
        <f>PRODUCT(SEMANAL!$D25,L$222)/1000+PRODUCT(SEMANAL!$B25,L$223)/1000</f>
        <v>1.1100000000000001</v>
      </c>
      <c r="M225" s="69">
        <f>PRODUCT(SEMANAL!$D25,M$222)/1000+PRODUCT(SEMANAL!$B25,M$223)/1000</f>
        <v>0.76300000000000001</v>
      </c>
      <c r="N225" s="69">
        <f>PRODUCT(SEMANAL!$D25,N$222)/1000+PRODUCT(SEMANAL!$B25,N$223)/1000</f>
        <v>2.266</v>
      </c>
      <c r="O225" s="60">
        <f>SUM('OC SECOS y LAC AZUL 2'!B108:N108)</f>
        <v>37</v>
      </c>
      <c r="P225" s="33">
        <v>1274</v>
      </c>
      <c r="Q225" s="33">
        <f t="shared" si="8"/>
        <v>47138</v>
      </c>
      <c r="R225" s="35"/>
      <c r="S225" s="35"/>
      <c r="T225" s="35"/>
      <c r="U225" s="1"/>
      <c r="V225" s="1"/>
      <c r="W225" s="1"/>
      <c r="X225" s="1"/>
      <c r="Y225" s="21"/>
      <c r="Z225" s="1"/>
    </row>
    <row r="226" spans="1:26" ht="14.25" customHeight="1">
      <c r="A226" s="22" t="s">
        <v>143</v>
      </c>
      <c r="B226" s="69">
        <f>PRODUCT(SEMANAL!$D26,B$222)/25+PRODUCT(SEMANAL!$B26,B$223)/25</f>
        <v>4.08</v>
      </c>
      <c r="C226" s="69">
        <f>PRODUCT(SEMANAL!$D26,C$222)/25+PRODUCT(SEMANAL!$B26,C$223)/25</f>
        <v>33.96</v>
      </c>
      <c r="D226" s="69">
        <f>PRODUCT(SEMANAL!$D26,D$222)/25+PRODUCT(SEMANAL!$B26,D$223)/25</f>
        <v>51</v>
      </c>
      <c r="E226" s="69">
        <f>PRODUCT(SEMANAL!$D26,E$222)/25+PRODUCT(SEMANAL!$B26,E$223)/25</f>
        <v>7.26</v>
      </c>
      <c r="F226" s="69">
        <f>PRODUCT(SEMANAL!$D26,F$222)/25+PRODUCT(SEMANAL!$B26,F$223)/25</f>
        <v>6</v>
      </c>
      <c r="G226" s="69">
        <f>PRODUCT(SEMANAL!$D26,G$222)/25+PRODUCT(SEMANAL!$B26,G$223)/25</f>
        <v>6.48</v>
      </c>
      <c r="H226" s="69">
        <f>PRODUCT(SEMANAL!$D26,H$222)/25+PRODUCT(SEMANAL!$B26,H$223)/25</f>
        <v>7.44</v>
      </c>
      <c r="I226" s="69">
        <f>PRODUCT(SEMANAL!$D26,I$222)/25+PRODUCT(SEMANAL!$B26,I$223)/25</f>
        <v>2.76</v>
      </c>
      <c r="J226" s="69">
        <f>PRODUCT(SEMANAL!$D26,J$222)/25+PRODUCT(SEMANAL!$B26,J$223)/25</f>
        <v>3</v>
      </c>
      <c r="K226" s="69">
        <f>PRODUCT(SEMANAL!$D26,K$222)/25+PRODUCT(SEMANAL!$B26,K$223)/25</f>
        <v>6.24</v>
      </c>
      <c r="L226" s="69">
        <f>PRODUCT(SEMANAL!$D26,L$222)/25+PRODUCT(SEMANAL!$B26,L$223)/25</f>
        <v>3.6</v>
      </c>
      <c r="M226" s="69">
        <f>PRODUCT(SEMANAL!$D26,M$222)/25+PRODUCT(SEMANAL!$B26,M$223)/25</f>
        <v>2.52</v>
      </c>
      <c r="N226" s="69">
        <f>PRODUCT(SEMANAL!$D26,N$222)/25+PRODUCT(SEMANAL!$B26,N$223)/25</f>
        <v>6.18</v>
      </c>
      <c r="O226" s="60">
        <f>SUM('OC SECOS y LAC AZUL 2'!B109:N109)</f>
        <v>35</v>
      </c>
      <c r="P226" s="33">
        <v>536</v>
      </c>
      <c r="Q226" s="33">
        <f t="shared" si="8"/>
        <v>18760</v>
      </c>
      <c r="R226" s="33"/>
      <c r="S226" s="33"/>
      <c r="T226" s="1"/>
      <c r="U226" s="1"/>
      <c r="V226" s="1"/>
      <c r="W226" s="1"/>
      <c r="X226" s="1"/>
      <c r="Y226" s="21"/>
      <c r="Z226" s="1"/>
    </row>
    <row r="227" spans="1:26" ht="14.25" customHeight="1">
      <c r="A227" s="22" t="s">
        <v>95</v>
      </c>
      <c r="B227" s="69">
        <f>PRODUCT(SEMANAL!$D27,B$222)/360+PRODUCT(SEMANAL!$B27,B$223)/360</f>
        <v>3.7777777777777777</v>
      </c>
      <c r="C227" s="69">
        <f>PRODUCT(SEMANAL!$D27,C$222)/360+PRODUCT(SEMANAL!$B27,C$223)/360</f>
        <v>31.444444444444443</v>
      </c>
      <c r="D227" s="69">
        <f>PRODUCT(SEMANAL!$D27,D$222)/360+PRODUCT(SEMANAL!$B27,D$223)/360</f>
        <v>47.222222222222221</v>
      </c>
      <c r="E227" s="69">
        <f>PRODUCT(SEMANAL!$D27,E$222)/360+PRODUCT(SEMANAL!$B27,E$223)/360</f>
        <v>6.7222222222222223</v>
      </c>
      <c r="F227" s="69">
        <f>PRODUCT(SEMANAL!$D27,F$222)/360+PRODUCT(SEMANAL!$B27,F$223)/360</f>
        <v>5.5555555555555554</v>
      </c>
      <c r="G227" s="69">
        <f>PRODUCT(SEMANAL!$D27,G$222)/360+PRODUCT(SEMANAL!$B27,G$223)/360</f>
        <v>6</v>
      </c>
      <c r="H227" s="69">
        <f>PRODUCT(SEMANAL!$D27,H$222)/360+PRODUCT(SEMANAL!$B27,H$223)/360</f>
        <v>6.8888888888888893</v>
      </c>
      <c r="I227" s="69">
        <f>PRODUCT(SEMANAL!$D27,I$222)/360+PRODUCT(SEMANAL!$B27,I$223)/360</f>
        <v>2.5555555555555554</v>
      </c>
      <c r="J227" s="69">
        <f>PRODUCT(SEMANAL!$D27,J$222)/360+PRODUCT(SEMANAL!$B27,J$223)/360</f>
        <v>2.7777777777777777</v>
      </c>
      <c r="K227" s="69">
        <f>PRODUCT(SEMANAL!$D27,K$222)/360+PRODUCT(SEMANAL!$B27,K$223)/360</f>
        <v>5.7777777777777777</v>
      </c>
      <c r="L227" s="69">
        <f>PRODUCT(SEMANAL!$D27,L$222)/360+PRODUCT(SEMANAL!$B27,L$223)/360</f>
        <v>3.3333333333333335</v>
      </c>
      <c r="M227" s="69">
        <f>PRODUCT(SEMANAL!$D27,M$222)/360+PRODUCT(SEMANAL!$B27,M$223)/360</f>
        <v>2.3333333333333335</v>
      </c>
      <c r="N227" s="69">
        <f>PRODUCT(SEMANAL!$D27,N$222)/360+PRODUCT(SEMANAL!$B27,N$223)/360</f>
        <v>5.7222222222222223</v>
      </c>
      <c r="O227" s="60">
        <f>SUM('OC SECOS y LAC AZUL 2'!B110:N110)</f>
        <v>72</v>
      </c>
      <c r="P227" s="33">
        <v>2141</v>
      </c>
      <c r="Q227" s="33">
        <f t="shared" si="8"/>
        <v>154152</v>
      </c>
      <c r="R227" s="25"/>
      <c r="S227" s="25"/>
      <c r="T227" s="25"/>
      <c r="U227" s="1"/>
      <c r="V227" s="1"/>
      <c r="W227" s="1"/>
      <c r="X227" s="1"/>
      <c r="Y227" s="1"/>
      <c r="Z227" s="1"/>
    </row>
    <row r="228" spans="1:26" ht="14.25" customHeight="1">
      <c r="A228" s="22" t="s">
        <v>144</v>
      </c>
      <c r="B228" s="69">
        <f>PRODUCT(SEMANAL!$D28,B$222)/400+PRODUCT(SEMANAL!$B28,B$223)/400</f>
        <v>5.0999999999999996</v>
      </c>
      <c r="C228" s="69">
        <f>PRODUCT(SEMANAL!$D28,C$222)/400+PRODUCT(SEMANAL!$B28,C$223)/400</f>
        <v>42.45</v>
      </c>
      <c r="D228" s="69">
        <f>PRODUCT(SEMANAL!$D28,D$222)/400+PRODUCT(SEMANAL!$B28,D$223)/400</f>
        <v>63.75</v>
      </c>
      <c r="E228" s="69">
        <f>PRODUCT(SEMANAL!$D28,E$222)/400+PRODUCT(SEMANAL!$B28,E$223)/400</f>
        <v>9.0749999999999993</v>
      </c>
      <c r="F228" s="69">
        <f>PRODUCT(SEMANAL!$D28,F$222)/400+PRODUCT(SEMANAL!$B28,F$223)/400</f>
        <v>7.5</v>
      </c>
      <c r="G228" s="69">
        <f>PRODUCT(SEMANAL!$D28,G$222)/400+PRODUCT(SEMANAL!$B28,G$223)/400</f>
        <v>8.1</v>
      </c>
      <c r="H228" s="69">
        <f>PRODUCT(SEMANAL!$D28,H$222)/400+PRODUCT(SEMANAL!$B28,H$223)/400</f>
        <v>9.3000000000000007</v>
      </c>
      <c r="I228" s="69">
        <f>PRODUCT(SEMANAL!$D28,I$222)/400+PRODUCT(SEMANAL!$B28,I$223)/400</f>
        <v>3.45</v>
      </c>
      <c r="J228" s="69">
        <f>PRODUCT(SEMANAL!$D28,J$222)/400+PRODUCT(SEMANAL!$B28,J$223)/400</f>
        <v>3.75</v>
      </c>
      <c r="K228" s="69">
        <f>PRODUCT(SEMANAL!$D28,K$222)/400+PRODUCT(SEMANAL!$B28,K$223)/400</f>
        <v>7.8</v>
      </c>
      <c r="L228" s="69">
        <f>PRODUCT(SEMANAL!$D28,L$222)/400+PRODUCT(SEMANAL!$B28,L$223)/400</f>
        <v>4.5</v>
      </c>
      <c r="M228" s="69">
        <f>PRODUCT(SEMANAL!$D28,M$222)/400+PRODUCT(SEMANAL!$B28,M$223)/400</f>
        <v>3.15</v>
      </c>
      <c r="N228" s="69">
        <f>PRODUCT(SEMANAL!$D28,N$222)/400+PRODUCT(SEMANAL!$B28,N$223)/400</f>
        <v>7.7249999999999996</v>
      </c>
      <c r="O228" s="60">
        <f>SUM('OC SECOS y LAC AZUL 2'!B111:N111)</f>
        <v>145</v>
      </c>
      <c r="P228" s="33">
        <v>1755</v>
      </c>
      <c r="Q228" s="33">
        <f t="shared" si="8"/>
        <v>254475</v>
      </c>
      <c r="R228" s="25"/>
      <c r="S228" s="25"/>
      <c r="T228" s="33"/>
      <c r="U228" s="1"/>
      <c r="V228" s="1"/>
      <c r="W228" s="1"/>
      <c r="X228" s="1"/>
      <c r="Y228" s="1"/>
      <c r="Z228" s="1"/>
    </row>
    <row r="229" spans="1:26" ht="14.25" customHeight="1">
      <c r="A229" s="22" t="s">
        <v>145</v>
      </c>
      <c r="B229" s="69">
        <f>PRODUCT(SEMANAL!$D29,B$222)/1000+PRODUCT(SEMANAL!$B29,B$223)/1000</f>
        <v>1.36</v>
      </c>
      <c r="C229" s="69">
        <f>PRODUCT(SEMANAL!$D29,C$222)/1000+PRODUCT(SEMANAL!$B29,C$223)/1000</f>
        <v>11.32</v>
      </c>
      <c r="D229" s="69">
        <f>PRODUCT(SEMANAL!$D29,D$222)/1000+PRODUCT(SEMANAL!$B29,D$223)/1000</f>
        <v>17</v>
      </c>
      <c r="E229" s="69">
        <f>PRODUCT(SEMANAL!$D29,E$222)/1000+PRODUCT(SEMANAL!$B29,E$223)/1000</f>
        <v>2.42</v>
      </c>
      <c r="F229" s="69">
        <f>PRODUCT(SEMANAL!$D29,F$222)/1000+PRODUCT(SEMANAL!$B29,F$223)/1000</f>
        <v>2</v>
      </c>
      <c r="G229" s="69">
        <f>PRODUCT(SEMANAL!$D29,G$222)/1000+PRODUCT(SEMANAL!$B29,G$223)/1000</f>
        <v>2.16</v>
      </c>
      <c r="H229" s="69">
        <f>PRODUCT(SEMANAL!$D29,H$222)/1000+PRODUCT(SEMANAL!$B29,H$223)/1000</f>
        <v>2.48</v>
      </c>
      <c r="I229" s="69">
        <f>PRODUCT(SEMANAL!$D29,I$222)/1000+PRODUCT(SEMANAL!$B29,I$223)/1000</f>
        <v>0.92</v>
      </c>
      <c r="J229" s="69">
        <f>PRODUCT(SEMANAL!$D29,J$222)/1000+PRODUCT(SEMANAL!$B29,J$223)/1000</f>
        <v>1</v>
      </c>
      <c r="K229" s="69">
        <f>PRODUCT(SEMANAL!$D29,K$222)/1000+PRODUCT(SEMANAL!$B29,K$223)/1000</f>
        <v>2.08</v>
      </c>
      <c r="L229" s="69">
        <f>PRODUCT(SEMANAL!$D29,L$222)/1000+PRODUCT(SEMANAL!$B29,L$223)/1000</f>
        <v>1.2</v>
      </c>
      <c r="M229" s="69">
        <f>PRODUCT(SEMANAL!$D29,M$222)/1000+PRODUCT(SEMANAL!$B29,M$223)/1000</f>
        <v>0.84</v>
      </c>
      <c r="N229" s="69">
        <f>PRODUCT(SEMANAL!$D29,N$222)/1000+PRODUCT(SEMANAL!$B29,N$223)/1000</f>
        <v>2.06</v>
      </c>
      <c r="O229" s="60">
        <f>SUM('OC SECOS y LAC AZUL 2'!B112:N112)</f>
        <v>28</v>
      </c>
      <c r="P229" s="33">
        <v>2125</v>
      </c>
      <c r="Q229" s="33">
        <f t="shared" si="8"/>
        <v>59500</v>
      </c>
      <c r="R229" s="12"/>
      <c r="S229" s="12"/>
      <c r="T229" s="12"/>
      <c r="U229" s="1"/>
      <c r="V229" s="1"/>
      <c r="W229" s="1"/>
      <c r="X229" s="1"/>
      <c r="Y229" s="1"/>
      <c r="Z229" s="1"/>
    </row>
    <row r="230" spans="1:26" ht="14.25" customHeight="1">
      <c r="A230" s="22" t="s">
        <v>98</v>
      </c>
      <c r="B230" s="69">
        <f>PRODUCT(SEMANAL!$D30,B$222)/1000+PRODUCT(SEMANAL!$B30,B$223)/1000</f>
        <v>3.4</v>
      </c>
      <c r="C230" s="69">
        <f>PRODUCT(SEMANAL!$D30,C$222)/1000+PRODUCT(SEMANAL!$B30,C$223)/1000</f>
        <v>8</v>
      </c>
      <c r="D230" s="69">
        <f>PRODUCT(SEMANAL!$D30,D$222)/1000+PRODUCT(SEMANAL!$B30,D$223)/1000</f>
        <v>0</v>
      </c>
      <c r="E230" s="69">
        <f>PRODUCT(SEMANAL!$D30,E$222)/1000+PRODUCT(SEMANAL!$B30,E$223)/1000</f>
        <v>0</v>
      </c>
      <c r="F230" s="69">
        <f>PRODUCT(SEMANAL!$D30,F$222)/1000+PRODUCT(SEMANAL!$B30,F$223)/1000</f>
        <v>5</v>
      </c>
      <c r="G230" s="69">
        <f>PRODUCT(SEMANAL!$D30,G$222)/1000+PRODUCT(SEMANAL!$B30,G$223)/1000</f>
        <v>2.7</v>
      </c>
      <c r="H230" s="69">
        <f>PRODUCT(SEMANAL!$D30,H$222)/1000+PRODUCT(SEMANAL!$B30,H$223)/1000</f>
        <v>3.1</v>
      </c>
      <c r="I230" s="69">
        <f>PRODUCT(SEMANAL!$D30,I$222)/1000+PRODUCT(SEMANAL!$B30,I$223)/1000</f>
        <v>1.1499999999999999</v>
      </c>
      <c r="J230" s="69">
        <f>PRODUCT(SEMANAL!$D30,J$222)/1000+PRODUCT(SEMANAL!$B30,J$223)/1000</f>
        <v>1.25</v>
      </c>
      <c r="K230" s="69">
        <f>PRODUCT(SEMANAL!$D30,K$222)/1000+PRODUCT(SEMANAL!$B30,K$223)/1000</f>
        <v>2.6</v>
      </c>
      <c r="L230" s="69">
        <f>PRODUCT(SEMANAL!$D30,L$222)/1000+PRODUCT(SEMANAL!$B30,L$223)/1000</f>
        <v>1.5</v>
      </c>
      <c r="M230" s="69">
        <f>PRODUCT(SEMANAL!$D30,M$222)/1000+PRODUCT(SEMANAL!$B30,M$223)/1000</f>
        <v>0.95</v>
      </c>
      <c r="N230" s="69">
        <f>PRODUCT(SEMANAL!$D30,N$222)/1000+PRODUCT(SEMANAL!$B30,N$223)/1000</f>
        <v>5.15</v>
      </c>
      <c r="O230" s="60">
        <f>SUM('OC SECOS y LAC AZUL 2'!B113:N113)</f>
        <v>40</v>
      </c>
      <c r="P230" s="33">
        <v>8692</v>
      </c>
      <c r="Q230" s="33">
        <f t="shared" si="8"/>
        <v>347680</v>
      </c>
      <c r="R230" s="4"/>
      <c r="S230" s="4"/>
      <c r="T230" s="4"/>
      <c r="U230" s="1"/>
      <c r="V230" s="1"/>
      <c r="W230" s="1"/>
      <c r="X230" s="1"/>
      <c r="Y230" s="1"/>
      <c r="Z230" s="1"/>
    </row>
    <row r="231" spans="1:26" ht="14.25" customHeight="1">
      <c r="A231" s="22" t="s">
        <v>146</v>
      </c>
      <c r="B231" s="69">
        <f>PRODUCT(SEMANAL!$D31,B$222)/900+PRODUCT(SEMANAL!$B31,B$223)/900</f>
        <v>2.2666666666666666</v>
      </c>
      <c r="C231" s="69">
        <f>PRODUCT(SEMANAL!$D31,C$222)/900+PRODUCT(SEMANAL!$B31,C$223)/900</f>
        <v>5.333333333333333</v>
      </c>
      <c r="D231" s="69">
        <f>PRODUCT(SEMANAL!$D31,D$222)/900+PRODUCT(SEMANAL!$B31,D$223)/900</f>
        <v>0</v>
      </c>
      <c r="E231" s="69">
        <f>PRODUCT(SEMANAL!$D31,E$222)/900+PRODUCT(SEMANAL!$B31,E$223)/900</f>
        <v>0</v>
      </c>
      <c r="F231" s="69">
        <f>PRODUCT(SEMANAL!$D31,F$222)/900+PRODUCT(SEMANAL!$B31,F$223)/900</f>
        <v>3.3333333333333335</v>
      </c>
      <c r="G231" s="69">
        <f>PRODUCT(SEMANAL!$D31,G$222)/900+PRODUCT(SEMANAL!$B31,G$223)/900</f>
        <v>1.8</v>
      </c>
      <c r="H231" s="69">
        <f>PRODUCT(SEMANAL!$D31,H$222)/900+PRODUCT(SEMANAL!$B31,H$223)/900</f>
        <v>2.0666666666666669</v>
      </c>
      <c r="I231" s="69">
        <f>PRODUCT(SEMANAL!$D31,I$222)/900+PRODUCT(SEMANAL!$B31,I$223)/900</f>
        <v>0.76666666666666672</v>
      </c>
      <c r="J231" s="69">
        <f>PRODUCT(SEMANAL!$D31,J$222)/900+PRODUCT(SEMANAL!$B31,J$223)/900</f>
        <v>0.83333333333333337</v>
      </c>
      <c r="K231" s="69">
        <f>PRODUCT(SEMANAL!$D31,K$222)/900+PRODUCT(SEMANAL!$B31,K$223)/900</f>
        <v>1.7333333333333334</v>
      </c>
      <c r="L231" s="69">
        <f>PRODUCT(SEMANAL!$D31,L$222)/900+PRODUCT(SEMANAL!$B31,L$223)/900</f>
        <v>1</v>
      </c>
      <c r="M231" s="69">
        <f>PRODUCT(SEMANAL!$D31,M$222)/900+PRODUCT(SEMANAL!$B31,M$223)/900</f>
        <v>0.6333333333333333</v>
      </c>
      <c r="N231" s="69">
        <f>PRODUCT(SEMANAL!$D31,N$222)/900+PRODUCT(SEMANAL!$B31,N$223)/900</f>
        <v>3.4333333333333331</v>
      </c>
      <c r="O231" s="60">
        <f>SUM('OC SECOS y LAC AZUL 2'!B114:N114)</f>
        <v>26</v>
      </c>
      <c r="P231" s="33">
        <v>2365</v>
      </c>
      <c r="Q231" s="33">
        <f t="shared" si="8"/>
        <v>61490</v>
      </c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22" t="s">
        <v>147</v>
      </c>
      <c r="B232" s="69">
        <f>PRODUCT(SEMANAL!$D32,B$222)/1000+PRODUCT(SEMANAL!$B32,B$223)/1000</f>
        <v>5.44</v>
      </c>
      <c r="C232" s="69">
        <f>PRODUCT(SEMANAL!$D32,C$222)/1000+PRODUCT(SEMANAL!$B32,C$223)/1000</f>
        <v>12.8</v>
      </c>
      <c r="D232" s="69">
        <f>PRODUCT(SEMANAL!$D32,D$222)/1000+PRODUCT(SEMANAL!$B32,D$223)/1000</f>
        <v>0</v>
      </c>
      <c r="E232" s="69">
        <f>PRODUCT(SEMANAL!$D32,E$222)/1000+PRODUCT(SEMANAL!$B32,E$223)/1000</f>
        <v>0</v>
      </c>
      <c r="F232" s="69">
        <f>PRODUCT(SEMANAL!$D32,F$222)/1000+PRODUCT(SEMANAL!$B32,F$223)/1000</f>
        <v>8</v>
      </c>
      <c r="G232" s="69">
        <f>PRODUCT(SEMANAL!$D32,G$222)/1000+PRODUCT(SEMANAL!$B32,G$223)/1000</f>
        <v>4.32</v>
      </c>
      <c r="H232" s="69">
        <f>PRODUCT(SEMANAL!$D32,H$222)/1000+PRODUCT(SEMANAL!$B32,H$223)/1000</f>
        <v>4.96</v>
      </c>
      <c r="I232" s="69">
        <f>PRODUCT(SEMANAL!$D32,I$222)/1000+PRODUCT(SEMANAL!$B32,I$223)/1000</f>
        <v>1.84</v>
      </c>
      <c r="J232" s="69">
        <f>PRODUCT(SEMANAL!$D32,J$222)/1000+PRODUCT(SEMANAL!$B32,J$223)/1000</f>
        <v>2</v>
      </c>
      <c r="K232" s="69">
        <f>PRODUCT(SEMANAL!$D32,K$222)/1000+PRODUCT(SEMANAL!$B32,K$223)/1000</f>
        <v>4.16</v>
      </c>
      <c r="L232" s="69">
        <f>PRODUCT(SEMANAL!$D32,L$222)/1000+PRODUCT(SEMANAL!$B32,L$223)/1000</f>
        <v>2.4</v>
      </c>
      <c r="M232" s="69">
        <f>PRODUCT(SEMANAL!$D32,M$222)/1000+PRODUCT(SEMANAL!$B32,M$223)/1000</f>
        <v>1.52</v>
      </c>
      <c r="N232" s="69">
        <f>PRODUCT(SEMANAL!$D32,N$222)/1000+PRODUCT(SEMANAL!$B32,N$223)/1000</f>
        <v>8.24</v>
      </c>
      <c r="O232" s="60">
        <f>SUM('OC SECOS y LAC AZUL 2'!B115:N115)</f>
        <v>38</v>
      </c>
      <c r="P232" s="33">
        <v>949</v>
      </c>
      <c r="Q232" s="33">
        <f t="shared" si="8"/>
        <v>36062</v>
      </c>
      <c r="R232" s="20"/>
      <c r="S232" s="20"/>
      <c r="T232" s="20"/>
      <c r="U232" s="21"/>
      <c r="V232" s="1"/>
      <c r="W232" s="1"/>
      <c r="X232" s="1"/>
      <c r="Y232" s="1"/>
      <c r="Z232" s="1"/>
    </row>
    <row r="233" spans="1:26" ht="14.25" customHeight="1">
      <c r="A233" s="22" t="s">
        <v>148</v>
      </c>
      <c r="B233" s="69">
        <f>PRODUCT(SEMANAL!$D33,B$222)/340+PRODUCT(SEMANAL!$B33,B$223)/340</f>
        <v>0</v>
      </c>
      <c r="C233" s="69">
        <f>PRODUCT(SEMANAL!$D33,C$222)/340+PRODUCT(SEMANAL!$B33,C$223)/340</f>
        <v>0</v>
      </c>
      <c r="D233" s="69">
        <f>PRODUCT(SEMANAL!$D33,D$222)/340+PRODUCT(SEMANAL!$B33,D$223)/340</f>
        <v>0</v>
      </c>
      <c r="E233" s="69">
        <f>PRODUCT(SEMANAL!$D33,E$222)/340+PRODUCT(SEMANAL!$B33,E$223)/340</f>
        <v>0</v>
      </c>
      <c r="F233" s="69">
        <f>PRODUCT(SEMANAL!$D33,F$222)/340+PRODUCT(SEMANAL!$B33,F$223)/340</f>
        <v>0</v>
      </c>
      <c r="G233" s="69">
        <f>PRODUCT(SEMANAL!$D33,G$222)/340+PRODUCT(SEMANAL!$B33,G$223)/340</f>
        <v>0</v>
      </c>
      <c r="H233" s="69">
        <f>PRODUCT(SEMANAL!$D33,H$222)/340+PRODUCT(SEMANAL!$B33,H$223)/340</f>
        <v>0</v>
      </c>
      <c r="I233" s="69">
        <f>PRODUCT(SEMANAL!$D33,I$222)/340+PRODUCT(SEMANAL!$B33,I$223)/340</f>
        <v>0</v>
      </c>
      <c r="J233" s="69">
        <f>PRODUCT(SEMANAL!$D33,J$222)/340+PRODUCT(SEMANAL!$B33,J$223)/340</f>
        <v>0</v>
      </c>
      <c r="K233" s="69">
        <f>PRODUCT(SEMANAL!$D33,K$222)/340+PRODUCT(SEMANAL!$B33,K$223)/340</f>
        <v>0</v>
      </c>
      <c r="L233" s="69">
        <f>PRODUCT(SEMANAL!$D33,L$222)/340+PRODUCT(SEMANAL!$B33,L$223)/340</f>
        <v>0</v>
      </c>
      <c r="M233" s="69">
        <f>PRODUCT(SEMANAL!$D33,M$222)/340+PRODUCT(SEMANAL!$B33,M$223)/340</f>
        <v>0</v>
      </c>
      <c r="N233" s="69">
        <f>PRODUCT(SEMANAL!$D33,N$222)/340+PRODUCT(SEMANAL!$B33,N$223)/340</f>
        <v>0</v>
      </c>
      <c r="O233" s="60">
        <f>SUM('OC SECOS y LAC AZUL 2'!B116:N116)</f>
        <v>0</v>
      </c>
      <c r="P233" s="33">
        <v>518</v>
      </c>
      <c r="Q233" s="33">
        <f t="shared" si="8"/>
        <v>0</v>
      </c>
      <c r="R233" s="20"/>
      <c r="S233" s="20"/>
      <c r="T233" s="20"/>
      <c r="U233" s="21"/>
      <c r="V233" s="1"/>
      <c r="W233" s="1"/>
      <c r="X233" s="1"/>
      <c r="Y233" s="1"/>
      <c r="Z233" s="1"/>
    </row>
    <row r="234" spans="1:26" ht="14.25" customHeight="1">
      <c r="A234" s="22" t="s">
        <v>149</v>
      </c>
      <c r="B234" s="69">
        <f>PRODUCT(SEMANAL!$D34,B$222)/350+PRODUCT(SEMANAL!$B34,B$223)/350</f>
        <v>7.7714285714285714</v>
      </c>
      <c r="C234" s="69">
        <f>PRODUCT(SEMANAL!$D34,C$222)/350+PRODUCT(SEMANAL!$B34,C$223)/350</f>
        <v>18.285714285714285</v>
      </c>
      <c r="D234" s="69">
        <f>PRODUCT(SEMANAL!$D34,D$222)/350+PRODUCT(SEMANAL!$B34,D$223)/350</f>
        <v>0</v>
      </c>
      <c r="E234" s="69">
        <f>PRODUCT(SEMANAL!$D34,E$222)/350+PRODUCT(SEMANAL!$B34,E$223)/350</f>
        <v>0</v>
      </c>
      <c r="F234" s="69">
        <f>PRODUCT(SEMANAL!$D34,F$222)/350+PRODUCT(SEMANAL!$B34,F$223)/350</f>
        <v>11.428571428571429</v>
      </c>
      <c r="G234" s="69">
        <f>PRODUCT(SEMANAL!$D34,G$222)/350+PRODUCT(SEMANAL!$B34,G$223)/350</f>
        <v>6.1714285714285717</v>
      </c>
      <c r="H234" s="69">
        <f>PRODUCT(SEMANAL!$D34,H$222)/350+PRODUCT(SEMANAL!$B34,H$223)/350</f>
        <v>7.0857142857142854</v>
      </c>
      <c r="I234" s="69">
        <f>PRODUCT(SEMANAL!$D34,I$222)/350+PRODUCT(SEMANAL!$B34,I$223)/350</f>
        <v>2.6285714285714286</v>
      </c>
      <c r="J234" s="69">
        <f>PRODUCT(SEMANAL!$D34,J$222)/350+PRODUCT(SEMANAL!$B34,J$223)/350</f>
        <v>2.8571428571428572</v>
      </c>
      <c r="K234" s="69">
        <f>PRODUCT(SEMANAL!$D34,K$222)/350+PRODUCT(SEMANAL!$B34,K$223)/350</f>
        <v>5.9428571428571431</v>
      </c>
      <c r="L234" s="69">
        <f>PRODUCT(SEMANAL!$D34,L$222)/350+PRODUCT(SEMANAL!$B34,L$223)/350</f>
        <v>3.4285714285714284</v>
      </c>
      <c r="M234" s="69">
        <f>PRODUCT(SEMANAL!$D34,M$222)/350+PRODUCT(SEMANAL!$B34,M$223)/350</f>
        <v>2.1714285714285713</v>
      </c>
      <c r="N234" s="69">
        <f>PRODUCT(SEMANAL!$D34,N$222)/350+PRODUCT(SEMANAL!$B34,N$223)/350</f>
        <v>11.771428571428572</v>
      </c>
      <c r="O234" s="60">
        <f>SUM('OC SECOS y LAC AZUL 2'!B117:N117)</f>
        <v>62</v>
      </c>
      <c r="P234" s="33">
        <v>736</v>
      </c>
      <c r="Q234" s="33">
        <f t="shared" si="8"/>
        <v>45632</v>
      </c>
      <c r="R234" s="20"/>
      <c r="S234" s="20"/>
      <c r="T234" s="20"/>
      <c r="U234" s="21"/>
      <c r="V234" s="1"/>
      <c r="W234" s="1"/>
      <c r="X234" s="1"/>
      <c r="Y234" s="1"/>
      <c r="Z234" s="1"/>
    </row>
    <row r="235" spans="1:26" ht="14.25" customHeight="1">
      <c r="A235" s="22" t="s">
        <v>150</v>
      </c>
      <c r="B235" s="69">
        <f>PRODUCT(SEMANAL!$D35,B$222)/25+PRODUCT(SEMANAL!$B35,B$223)/25</f>
        <v>0</v>
      </c>
      <c r="C235" s="69">
        <f>PRODUCT(SEMANAL!$D35,C$222)/25+PRODUCT(SEMANAL!$B35,C$223)/25</f>
        <v>0</v>
      </c>
      <c r="D235" s="69">
        <f>PRODUCT(SEMANAL!$D35,D$222)/25+PRODUCT(SEMANAL!$B35,D$223)/25</f>
        <v>0</v>
      </c>
      <c r="E235" s="69">
        <f>PRODUCT(SEMANAL!$D35,E$222)/25+PRODUCT(SEMANAL!$B35,E$223)/25</f>
        <v>0</v>
      </c>
      <c r="F235" s="69">
        <f>PRODUCT(SEMANAL!$D35,F$222)/25+PRODUCT(SEMANAL!$B35,F$223)/25</f>
        <v>0</v>
      </c>
      <c r="G235" s="69">
        <f>PRODUCT(SEMANAL!$D35,G$222)/25+PRODUCT(SEMANAL!$B35,G$223)/25</f>
        <v>0</v>
      </c>
      <c r="H235" s="69">
        <f>PRODUCT(SEMANAL!$D35,H$222)/25+PRODUCT(SEMANAL!$B35,H$223)/25</f>
        <v>0</v>
      </c>
      <c r="I235" s="69">
        <f>PRODUCT(SEMANAL!$D35,I$222)/25+PRODUCT(SEMANAL!$B35,I$223)/25</f>
        <v>0</v>
      </c>
      <c r="J235" s="69">
        <f>PRODUCT(SEMANAL!$D35,J$222)/25+PRODUCT(SEMANAL!$B35,J$223)/25</f>
        <v>0</v>
      </c>
      <c r="K235" s="69">
        <f>PRODUCT(SEMANAL!$D35,K$222)/25+PRODUCT(SEMANAL!$B35,K$223)/25</f>
        <v>0</v>
      </c>
      <c r="L235" s="69">
        <f>PRODUCT(SEMANAL!$D35,L$222)/25+PRODUCT(SEMANAL!$B35,L$223)/25</f>
        <v>0</v>
      </c>
      <c r="M235" s="69">
        <f>PRODUCT(SEMANAL!$D35,M$222)/25+PRODUCT(SEMANAL!$B35,M$223)/25</f>
        <v>0</v>
      </c>
      <c r="N235" s="69">
        <f>PRODUCT(SEMANAL!$D35,N$222)/25+PRODUCT(SEMANAL!$B35,N$223)/25</f>
        <v>0</v>
      </c>
      <c r="O235" s="60">
        <f>SUM('OC SECOS y LAC AZUL 2'!B118:N118)</f>
        <v>0</v>
      </c>
      <c r="P235" s="33">
        <v>919</v>
      </c>
      <c r="Q235" s="33">
        <f t="shared" si="8"/>
        <v>0</v>
      </c>
      <c r="R235" s="20"/>
      <c r="S235" s="20"/>
      <c r="T235" s="20"/>
      <c r="U235" s="21"/>
      <c r="V235" s="1"/>
      <c r="W235" s="1"/>
      <c r="X235" s="1"/>
      <c r="Y235" s="1"/>
      <c r="Z235" s="1"/>
    </row>
    <row r="236" spans="1:26" ht="14.25" customHeight="1">
      <c r="A236" s="22" t="s">
        <v>151</v>
      </c>
      <c r="B236" s="69">
        <f>PRODUCT(SEMANAL!$D36,B$222)/25+PRODUCT(SEMANAL!$B36,B$223)/25</f>
        <v>0</v>
      </c>
      <c r="C236" s="69">
        <f>PRODUCT(SEMANAL!$D36,C$222)/25+PRODUCT(SEMANAL!$B36,C$223)/25</f>
        <v>0</v>
      </c>
      <c r="D236" s="69">
        <f>PRODUCT(SEMANAL!$D36,D$222)/25+PRODUCT(SEMANAL!$B36,D$223)/25</f>
        <v>0</v>
      </c>
      <c r="E236" s="69">
        <f>PRODUCT(SEMANAL!$D36,E$222)/25+PRODUCT(SEMANAL!$B36,E$223)/25</f>
        <v>0</v>
      </c>
      <c r="F236" s="69">
        <f>PRODUCT(SEMANAL!$D36,F$222)/25+PRODUCT(SEMANAL!$B36,F$223)/25</f>
        <v>0</v>
      </c>
      <c r="G236" s="69">
        <f>PRODUCT(SEMANAL!$D36,G$222)/25+PRODUCT(SEMANAL!$B36,G$223)/25</f>
        <v>0</v>
      </c>
      <c r="H236" s="69">
        <f>PRODUCT(SEMANAL!$D36,H$222)/25+PRODUCT(SEMANAL!$B36,H$223)/25</f>
        <v>0</v>
      </c>
      <c r="I236" s="69">
        <f>PRODUCT(SEMANAL!$D36,I$222)/25+PRODUCT(SEMANAL!$B36,I$223)/25</f>
        <v>0</v>
      </c>
      <c r="J236" s="69">
        <f>PRODUCT(SEMANAL!$D36,J$222)/25+PRODUCT(SEMANAL!$B36,J$223)/25</f>
        <v>0</v>
      </c>
      <c r="K236" s="69">
        <f>PRODUCT(SEMANAL!$D36,K$222)/25+PRODUCT(SEMANAL!$B36,K$223)/25</f>
        <v>0</v>
      </c>
      <c r="L236" s="69">
        <f>PRODUCT(SEMANAL!$D36,L$222)/25+PRODUCT(SEMANAL!$B36,L$223)/25</f>
        <v>0</v>
      </c>
      <c r="M236" s="69">
        <f>PRODUCT(SEMANAL!$D36,M$222)/25+PRODUCT(SEMANAL!$B36,M$223)/25</f>
        <v>0</v>
      </c>
      <c r="N236" s="69">
        <f>PRODUCT(SEMANAL!$D36,N$222)/25+PRODUCT(SEMANAL!$B36,N$223)/25</f>
        <v>0</v>
      </c>
      <c r="O236" s="60">
        <f>SUM('OC SECOS y LAC AZUL 2'!B119:N119)</f>
        <v>0</v>
      </c>
      <c r="P236" s="33">
        <v>919</v>
      </c>
      <c r="Q236" s="33">
        <f t="shared" si="8"/>
        <v>0</v>
      </c>
      <c r="R236" s="20"/>
      <c r="S236" s="20"/>
      <c r="T236" s="20"/>
      <c r="U236" s="21"/>
      <c r="V236" s="1"/>
      <c r="W236" s="1"/>
      <c r="X236" s="1"/>
      <c r="Y236" s="1"/>
      <c r="Z236" s="1"/>
    </row>
    <row r="237" spans="1:26" ht="14.25" customHeight="1">
      <c r="A237" s="22" t="s">
        <v>105</v>
      </c>
      <c r="B237" s="69">
        <f>PRODUCT(SEMANAL!$D37,B$222)/25+PRODUCT(SEMANAL!$B37,B$223)/25</f>
        <v>4.08</v>
      </c>
      <c r="C237" s="69">
        <f>PRODUCT(SEMANAL!$D37,C$222)/25+PRODUCT(SEMANAL!$B37,C$223)/25</f>
        <v>9.6</v>
      </c>
      <c r="D237" s="69">
        <f>PRODUCT(SEMANAL!$D37,D$222)/25+PRODUCT(SEMANAL!$B37,D$223)/25</f>
        <v>0</v>
      </c>
      <c r="E237" s="69">
        <f>PRODUCT(SEMANAL!$D37,E$222)/25+PRODUCT(SEMANAL!$B37,E$223)/25</f>
        <v>0</v>
      </c>
      <c r="F237" s="69">
        <f>PRODUCT(SEMANAL!$D37,F$222)/25+PRODUCT(SEMANAL!$B37,F$223)/25</f>
        <v>6</v>
      </c>
      <c r="G237" s="69">
        <f>PRODUCT(SEMANAL!$D37,G$222)/25+PRODUCT(SEMANAL!$B37,G$223)/25</f>
        <v>3.24</v>
      </c>
      <c r="H237" s="69">
        <f>PRODUCT(SEMANAL!$D37,H$222)/25+PRODUCT(SEMANAL!$B37,H$223)/25</f>
        <v>3.72</v>
      </c>
      <c r="I237" s="69">
        <f>PRODUCT(SEMANAL!$D37,I$222)/25+PRODUCT(SEMANAL!$B37,I$223)/25</f>
        <v>1.38</v>
      </c>
      <c r="J237" s="69">
        <f>PRODUCT(SEMANAL!$D37,J$222)/25+PRODUCT(SEMANAL!$B37,J$223)/25</f>
        <v>1.5</v>
      </c>
      <c r="K237" s="69">
        <f>PRODUCT(SEMANAL!$D37,K$222)/25+PRODUCT(SEMANAL!$B37,K$223)/25</f>
        <v>3.12</v>
      </c>
      <c r="L237" s="69">
        <f>PRODUCT(SEMANAL!$D37,L$222)/25+PRODUCT(SEMANAL!$B37,L$223)/25</f>
        <v>1.8</v>
      </c>
      <c r="M237" s="69">
        <f>PRODUCT(SEMANAL!$D37,M$222)/25+PRODUCT(SEMANAL!$B37,M$223)/25</f>
        <v>1.1399999999999999</v>
      </c>
      <c r="N237" s="69">
        <f>PRODUCT(SEMANAL!$D37,N$222)/25+PRODUCT(SEMANAL!$B37,N$223)/25</f>
        <v>6.18</v>
      </c>
      <c r="O237" s="60">
        <f>SUM('OC SECOS y LAC AZUL 2'!B120:N120)</f>
        <v>30</v>
      </c>
      <c r="P237" s="33">
        <v>919</v>
      </c>
      <c r="Q237" s="33">
        <f t="shared" si="8"/>
        <v>27570</v>
      </c>
      <c r="R237" s="20"/>
      <c r="S237" s="20"/>
      <c r="T237" s="20"/>
      <c r="U237" s="21"/>
      <c r="V237" s="1"/>
      <c r="W237" s="1"/>
      <c r="X237" s="1"/>
      <c r="Y237" s="1"/>
      <c r="Z237" s="1"/>
    </row>
    <row r="238" spans="1:26" ht="14.25" customHeight="1">
      <c r="A238" s="22" t="s">
        <v>152</v>
      </c>
      <c r="B238" s="69">
        <f>PRODUCT(SEMANAL!$D38,B$222)/500+PRODUCT(SEMANAL!$B38,B$223)/500</f>
        <v>0.20399999999999999</v>
      </c>
      <c r="C238" s="69">
        <f>PRODUCT(SEMANAL!$D38,C$222)/500+PRODUCT(SEMANAL!$B38,C$223)/500</f>
        <v>0.48</v>
      </c>
      <c r="D238" s="69">
        <f>PRODUCT(SEMANAL!$D38,D$222)/500+PRODUCT(SEMANAL!$B38,D$223)/500</f>
        <v>0</v>
      </c>
      <c r="E238" s="69">
        <f>PRODUCT(SEMANAL!$D38,E$222)/500+PRODUCT(SEMANAL!$B38,E$223)/500</f>
        <v>0</v>
      </c>
      <c r="F238" s="69">
        <f>PRODUCT(SEMANAL!$D38,F$222)/500+PRODUCT(SEMANAL!$B38,F$223)/500</f>
        <v>0.3</v>
      </c>
      <c r="G238" s="69">
        <f>PRODUCT(SEMANAL!$D38,G$222)/500+PRODUCT(SEMANAL!$B38,G$223)/500</f>
        <v>0.16200000000000001</v>
      </c>
      <c r="H238" s="69">
        <f>PRODUCT(SEMANAL!$D38,H$222)/500+PRODUCT(SEMANAL!$B38,H$223)/500</f>
        <v>0.186</v>
      </c>
      <c r="I238" s="69">
        <f>PRODUCT(SEMANAL!$D38,I$222)/500+PRODUCT(SEMANAL!$B38,I$223)/500</f>
        <v>6.9000000000000006E-2</v>
      </c>
      <c r="J238" s="69">
        <f>PRODUCT(SEMANAL!$D38,J$222)/500+PRODUCT(SEMANAL!$B38,J$223)/500</f>
        <v>7.4999999999999997E-2</v>
      </c>
      <c r="K238" s="69">
        <f>PRODUCT(SEMANAL!$D38,K$222)/500+PRODUCT(SEMANAL!$B38,K$223)/500</f>
        <v>0.156</v>
      </c>
      <c r="L238" s="69">
        <f>PRODUCT(SEMANAL!$D38,L$222)/500+PRODUCT(SEMANAL!$B38,L$223)/500</f>
        <v>0.09</v>
      </c>
      <c r="M238" s="69">
        <f>PRODUCT(SEMANAL!$D38,M$222)/500+PRODUCT(SEMANAL!$B38,M$223)/500</f>
        <v>5.7000000000000002E-2</v>
      </c>
      <c r="N238" s="69">
        <f>PRODUCT(SEMANAL!$D38,N$222)/500+PRODUCT(SEMANAL!$B38,N$223)/500</f>
        <v>0.309</v>
      </c>
      <c r="O238" s="60">
        <f>SUM('OC SECOS y LAC AZUL 2'!B121:N121)</f>
        <v>7</v>
      </c>
      <c r="P238" s="1">
        <v>650</v>
      </c>
      <c r="Q238" s="1">
        <f t="shared" si="8"/>
        <v>4550</v>
      </c>
      <c r="R238" s="20"/>
      <c r="S238" s="20"/>
      <c r="T238" s="20"/>
      <c r="U238" s="21"/>
      <c r="V238" s="1"/>
      <c r="W238" s="1"/>
      <c r="X238" s="1"/>
      <c r="Y238" s="1"/>
      <c r="Z238" s="1"/>
    </row>
    <row r="239" spans="1:26" ht="14.25" customHeight="1">
      <c r="A239" s="22" t="s">
        <v>153</v>
      </c>
      <c r="B239" s="69">
        <f>PRODUCT(SEMANAL!$D39,B$222)/500+PRODUCT(SEMANAL!B$39,B$223)/500</f>
        <v>9.52</v>
      </c>
      <c r="C239" s="69">
        <f>PRODUCT(SEMANAL!$D39,C$222)/500+PRODUCT(SEMANAL!C$39,C$223)/500</f>
        <v>0.32</v>
      </c>
      <c r="D239" s="69">
        <f>PRODUCT(SEMANAL!$D39,D$222)/500+PRODUCT(SEMANAL!D$39,D$223)/500</f>
        <v>0</v>
      </c>
      <c r="E239" s="69">
        <f>PRODUCT(SEMANAL!$D39,E$222)/500+PRODUCT(SEMANAL!E$39,E$223)/500</f>
        <v>0</v>
      </c>
      <c r="F239" s="69">
        <f>PRODUCT(SEMANAL!$D39,F$222)/500+PRODUCT(SEMANAL!F$39,F$223)/500</f>
        <v>14</v>
      </c>
      <c r="G239" s="69">
        <f>PRODUCT(SEMANAL!$D39,G$222)/500+PRODUCT(SEMANAL!G$39,G$223)/500</f>
        <v>0</v>
      </c>
      <c r="H239" s="69">
        <f>PRODUCT(SEMANAL!$D39,H$222)/500+PRODUCT(SEMANAL!H$39,H$223)/500</f>
        <v>0.124</v>
      </c>
      <c r="I239" s="69">
        <f>PRODUCT(SEMANAL!$D39,I$222)/500+PRODUCT(SEMANAL!I$39,I$223)/500</f>
        <v>4.5999999999999999E-2</v>
      </c>
      <c r="J239" s="69">
        <f>PRODUCT(SEMANAL!$D39,J$222)/500+PRODUCT(SEMANAL!J$39,J$223)/500</f>
        <v>0.05</v>
      </c>
      <c r="K239" s="69">
        <f>PRODUCT(SEMANAL!$D39,K$222)/500+PRODUCT(SEMANAL!K$39,K$223)/500</f>
        <v>0.104</v>
      </c>
      <c r="L239" s="69">
        <f>PRODUCT(SEMANAL!$D39,L$222)/500+PRODUCT(SEMANAL!L$39,L$223)/500</f>
        <v>0.06</v>
      </c>
      <c r="M239" s="69">
        <f>PRODUCT(SEMANAL!$D39,M$222)/500+PRODUCT(SEMANAL!M$39,M$223)/500</f>
        <v>3.7999999999999999E-2</v>
      </c>
      <c r="N239" s="69">
        <f>PRODUCT(SEMANAL!$D39,N$222)/500+PRODUCT(SEMANAL!N$39,N$223)/500</f>
        <v>0.20599999999999999</v>
      </c>
      <c r="O239" s="60">
        <f>SUM('OC SECOS y LAC AZUL 2'!B122:N122)</f>
        <v>30</v>
      </c>
      <c r="P239" s="1">
        <v>540</v>
      </c>
      <c r="Q239" s="1">
        <f t="shared" si="8"/>
        <v>16200</v>
      </c>
      <c r="R239" s="20"/>
      <c r="S239" s="20"/>
      <c r="T239" s="20"/>
      <c r="U239" s="21"/>
      <c r="V239" s="1"/>
      <c r="W239" s="1"/>
      <c r="X239" s="1"/>
      <c r="Y239" s="1"/>
      <c r="Z239" s="1"/>
    </row>
    <row r="240" spans="1:26" ht="14.25" customHeight="1">
      <c r="A240" s="22" t="s">
        <v>108</v>
      </c>
      <c r="B240" s="69">
        <f>PRODUCT(SEMANAL!$D40,B$222)/500+PRODUCT(SEMANAL!$B40,B$223)/500</f>
        <v>6.12</v>
      </c>
      <c r="C240" s="69">
        <f>PRODUCT(SEMANAL!$D40,C$222)/500+PRODUCT(SEMANAL!$B40,C$223)/500</f>
        <v>14.4</v>
      </c>
      <c r="D240" s="69">
        <f>PRODUCT(SEMANAL!$D40,D$222)/500+PRODUCT(SEMANAL!$B40,D$223)/500</f>
        <v>0</v>
      </c>
      <c r="E240" s="69">
        <f>PRODUCT(SEMANAL!$D40,E$222)/500+PRODUCT(SEMANAL!$B40,E$223)/500</f>
        <v>0</v>
      </c>
      <c r="F240" s="69">
        <f>PRODUCT(SEMANAL!$D40,F$222)/500+PRODUCT(SEMANAL!$B40,F$223)/500</f>
        <v>9</v>
      </c>
      <c r="G240" s="69">
        <f>PRODUCT(SEMANAL!$D40,G$222)/500+PRODUCT(SEMANAL!$B40,G$223)/500</f>
        <v>4.8600000000000003</v>
      </c>
      <c r="H240" s="69">
        <f>PRODUCT(SEMANAL!$D40,H$222)/500+PRODUCT(SEMANAL!$B40,H$223)/500</f>
        <v>5.58</v>
      </c>
      <c r="I240" s="69">
        <f>PRODUCT(SEMANAL!$D40,I$222)/500+PRODUCT(SEMANAL!$B40,I$223)/500</f>
        <v>2.0699999999999998</v>
      </c>
      <c r="J240" s="69">
        <f>PRODUCT(SEMANAL!$D40,J$222)/500+PRODUCT(SEMANAL!$B40,J$223)/500</f>
        <v>2.25</v>
      </c>
      <c r="K240" s="69">
        <f>PRODUCT(SEMANAL!$D40,K$222)/500+PRODUCT(SEMANAL!$B40,K$223)/500</f>
        <v>4.68</v>
      </c>
      <c r="L240" s="69">
        <f>PRODUCT(SEMANAL!$D40,L$222)/500+PRODUCT(SEMANAL!$B40,L$223)/500</f>
        <v>2.7</v>
      </c>
      <c r="M240" s="69">
        <f>PRODUCT(SEMANAL!$D40,M$222)/500+PRODUCT(SEMANAL!$B40,M$223)/500</f>
        <v>1.71</v>
      </c>
      <c r="N240" s="69">
        <f>PRODUCT(SEMANAL!$D40,N$222)/500+PRODUCT(SEMANAL!$B40,N$223)/500</f>
        <v>9.27</v>
      </c>
      <c r="O240" s="60">
        <f>SUM('OC SECOS y LAC AZUL 2'!B123:N123)</f>
        <v>63</v>
      </c>
      <c r="P240" s="1">
        <v>806</v>
      </c>
      <c r="Q240" s="1">
        <f t="shared" si="8"/>
        <v>50778</v>
      </c>
      <c r="R240" s="20"/>
      <c r="S240" s="20"/>
      <c r="T240" s="20"/>
      <c r="U240" s="21"/>
      <c r="V240" s="1"/>
      <c r="W240" s="1"/>
      <c r="X240" s="1"/>
      <c r="Y240" s="1"/>
      <c r="Z240" s="1"/>
    </row>
    <row r="241" spans="1:26" ht="14.25" customHeight="1">
      <c r="A241" s="61" t="s">
        <v>109</v>
      </c>
      <c r="B241" s="69">
        <f>PRODUCT(SEMANAL!$D41,B$222)/1000+PRODUCT(SEMANAL!$B41,B$223)/1000</f>
        <v>2.38</v>
      </c>
      <c r="C241" s="69">
        <f>PRODUCT(SEMANAL!$D41,C$222)/1000+PRODUCT(SEMANAL!$B41,C$223)/1000</f>
        <v>5.6</v>
      </c>
      <c r="D241" s="69">
        <f>PRODUCT(SEMANAL!$D41,D$222)/1000+PRODUCT(SEMANAL!$B41,D$223)/1000</f>
        <v>0</v>
      </c>
      <c r="E241" s="69">
        <f>PRODUCT(SEMANAL!$D41,E$222)/1000+PRODUCT(SEMANAL!$B41,E$223)/1000</f>
        <v>0</v>
      </c>
      <c r="F241" s="69">
        <f>PRODUCT(SEMANAL!$D41,F$222)/1000+PRODUCT(SEMANAL!$B41,F$223)/1000</f>
        <v>3.5</v>
      </c>
      <c r="G241" s="69">
        <f>PRODUCT(SEMANAL!$D41,G$222)/1000+PRODUCT(SEMANAL!$B41,G$223)/1000</f>
        <v>1.89</v>
      </c>
      <c r="H241" s="69">
        <f>PRODUCT(SEMANAL!$D41,H$222)/1000+PRODUCT(SEMANAL!$B41,H$223)/1000</f>
        <v>2.17</v>
      </c>
      <c r="I241" s="69">
        <f>PRODUCT(SEMANAL!$D41,I$222)/1000+PRODUCT(SEMANAL!$B41,I$223)/1000</f>
        <v>0.80500000000000005</v>
      </c>
      <c r="J241" s="69">
        <f>PRODUCT(SEMANAL!$D41,J$222)/1000+PRODUCT(SEMANAL!$B41,J$223)/1000</f>
        <v>0.875</v>
      </c>
      <c r="K241" s="69">
        <f>PRODUCT(SEMANAL!$D41,K$222)/1000+PRODUCT(SEMANAL!$B41,K$223)/1000</f>
        <v>1.82</v>
      </c>
      <c r="L241" s="69">
        <f>PRODUCT(SEMANAL!$D41,L$222)/1000+PRODUCT(SEMANAL!$B41,L$223)/1000</f>
        <v>1.05</v>
      </c>
      <c r="M241" s="69">
        <f>PRODUCT(SEMANAL!$D41,M$222)/1000+PRODUCT(SEMANAL!$B41,M$223)/1000</f>
        <v>0.66500000000000004</v>
      </c>
      <c r="N241" s="69">
        <f>PRODUCT(SEMANAL!$D41,N$222)/1000+PRODUCT(SEMANAL!$B41,N$223)/1000</f>
        <v>3.605</v>
      </c>
      <c r="O241" s="60">
        <f>SUM('OC SECOS y LAC AZUL 2'!B124:N124)</f>
        <v>8</v>
      </c>
      <c r="P241" s="1">
        <v>2451</v>
      </c>
      <c r="Q241" s="1">
        <f t="shared" si="8"/>
        <v>19608</v>
      </c>
      <c r="R241" s="20"/>
      <c r="S241" s="20"/>
      <c r="T241" s="20"/>
      <c r="U241" s="21"/>
      <c r="V241" s="1"/>
      <c r="W241" s="1"/>
      <c r="X241" s="1"/>
      <c r="Y241" s="1"/>
      <c r="Z241" s="1"/>
    </row>
    <row r="242" spans="1:26" ht="14.25" customHeight="1">
      <c r="A242" s="61" t="s">
        <v>110</v>
      </c>
      <c r="B242" s="69">
        <f>PRODUCT(SEMANAL!$D42,B$222)/500+PRODUCT(SEMANAL!$B42,B$223)/500</f>
        <v>0.40799999999999997</v>
      </c>
      <c r="C242" s="69">
        <f>PRODUCT(SEMANAL!$D42,C$222)/500+PRODUCT(SEMANAL!$B42,C$223)/500</f>
        <v>0.96</v>
      </c>
      <c r="D242" s="69">
        <f>PRODUCT(SEMANAL!$D42,D$222)/500+PRODUCT(SEMANAL!$B42,D$223)/500</f>
        <v>0</v>
      </c>
      <c r="E242" s="69">
        <f>PRODUCT(SEMANAL!$D42,E$222)/500+PRODUCT(SEMANAL!$B42,E$223)/500</f>
        <v>0</v>
      </c>
      <c r="F242" s="69">
        <f>PRODUCT(SEMANAL!$D42,F$222)/500+PRODUCT(SEMANAL!$B42,F$223)/500</f>
        <v>0.6</v>
      </c>
      <c r="G242" s="69">
        <f>PRODUCT(SEMANAL!$D42,G$222)/500+PRODUCT(SEMANAL!$B42,G$223)/500</f>
        <v>0.32400000000000001</v>
      </c>
      <c r="H242" s="69">
        <f>PRODUCT(SEMANAL!$D42,H$222)/500+PRODUCT(SEMANAL!$B42,H$223)/500</f>
        <v>0.372</v>
      </c>
      <c r="I242" s="69">
        <f>PRODUCT(SEMANAL!$D42,I$222)/500+PRODUCT(SEMANAL!$B42,I$223)/500</f>
        <v>0.13800000000000001</v>
      </c>
      <c r="J242" s="69">
        <f>PRODUCT(SEMANAL!$D42,J$222)/500+PRODUCT(SEMANAL!$B42,J$223)/500</f>
        <v>0.15</v>
      </c>
      <c r="K242" s="69">
        <f>PRODUCT(SEMANAL!$D42,K$222)/500+PRODUCT(SEMANAL!$B42,K$223)/500</f>
        <v>0.312</v>
      </c>
      <c r="L242" s="69">
        <f>PRODUCT(SEMANAL!$D42,L$222)/500+PRODUCT(SEMANAL!$B42,L$223)/500</f>
        <v>0.18</v>
      </c>
      <c r="M242" s="69">
        <f>PRODUCT(SEMANAL!$D42,M$222)/500+PRODUCT(SEMANAL!$B42,M$223)/500</f>
        <v>0.114</v>
      </c>
      <c r="N242" s="69">
        <f>PRODUCT(SEMANAL!$D42,N$222)/500+PRODUCT(SEMANAL!$B42,N$223)/500</f>
        <v>0.61799999999999999</v>
      </c>
      <c r="O242" s="60">
        <f>SUM('OC SECOS y LAC AZUL 2'!B125:N125)</f>
        <v>5</v>
      </c>
      <c r="P242" s="1">
        <v>1869</v>
      </c>
      <c r="Q242" s="1">
        <f t="shared" si="8"/>
        <v>9345</v>
      </c>
      <c r="R242" s="20"/>
      <c r="S242" s="20"/>
      <c r="T242" s="20"/>
      <c r="U242" s="21"/>
      <c r="V242" s="1"/>
      <c r="W242" s="1"/>
      <c r="X242" s="1"/>
      <c r="Y242" s="1"/>
      <c r="Z242" s="1"/>
    </row>
    <row r="243" spans="1:26" ht="14.25" customHeight="1">
      <c r="A243" s="61" t="s">
        <v>111</v>
      </c>
      <c r="B243" s="69">
        <f>PRODUCT(SEMANAL!$D43,B$222)/100+PRODUCT(SEMANAL!$B43,B$223)/100</f>
        <v>0</v>
      </c>
      <c r="C243" s="69">
        <f>PRODUCT(SEMANAL!$D43,C$222)/100+PRODUCT(SEMANAL!$B43,C$223)/100</f>
        <v>0</v>
      </c>
      <c r="D243" s="69">
        <f>PRODUCT(SEMANAL!$D43,D$222)/100+PRODUCT(SEMANAL!$B43,D$223)/100</f>
        <v>0</v>
      </c>
      <c r="E243" s="69">
        <f>PRODUCT(SEMANAL!$D43,E$222)/100+PRODUCT(SEMANAL!$B43,E$223)/100</f>
        <v>0</v>
      </c>
      <c r="F243" s="69">
        <f>PRODUCT(SEMANAL!$D43,F$222)/100+PRODUCT(SEMANAL!$B43,F$223)/100</f>
        <v>0</v>
      </c>
      <c r="G243" s="69">
        <f>PRODUCT(SEMANAL!$D43,G$222)/100+PRODUCT(SEMANAL!$B43,G$223)/100</f>
        <v>0</v>
      </c>
      <c r="H243" s="69">
        <f>PRODUCT(SEMANAL!$D43,H$222)/100+PRODUCT(SEMANAL!$B43,H$223)/100</f>
        <v>0</v>
      </c>
      <c r="I243" s="69">
        <f>PRODUCT(SEMANAL!$D43,I$222)/100+PRODUCT(SEMANAL!$B43,I$223)/100</f>
        <v>0</v>
      </c>
      <c r="J243" s="69">
        <f>PRODUCT(SEMANAL!$D43,J$222)/100+PRODUCT(SEMANAL!$B43,J$223)/100</f>
        <v>0</v>
      </c>
      <c r="K243" s="69">
        <f>PRODUCT(SEMANAL!$D43,K$222)/100+PRODUCT(SEMANAL!$B43,K$223)/100</f>
        <v>0</v>
      </c>
      <c r="L243" s="69">
        <f>PRODUCT(SEMANAL!$D43,L$222)/100+PRODUCT(SEMANAL!$B43,L$223)/100</f>
        <v>0</v>
      </c>
      <c r="M243" s="69">
        <f>PRODUCT(SEMANAL!$D43,M$222)/100+PRODUCT(SEMANAL!$B43,M$223)/100</f>
        <v>0</v>
      </c>
      <c r="N243" s="69">
        <f>PRODUCT(SEMANAL!$D43,N$222)/100+PRODUCT(SEMANAL!$B43,N$223)/100</f>
        <v>0</v>
      </c>
      <c r="O243" s="60">
        <f>SUM('OC SECOS y LAC AZUL 2'!B126:N126)</f>
        <v>0</v>
      </c>
      <c r="P243" s="1">
        <v>1625</v>
      </c>
      <c r="Q243" s="1">
        <f t="shared" si="8"/>
        <v>0</v>
      </c>
      <c r="R243" s="20"/>
      <c r="S243" s="20"/>
      <c r="T243" s="20"/>
      <c r="U243" s="21"/>
      <c r="V243" s="1"/>
      <c r="W243" s="1"/>
      <c r="X243" s="1"/>
      <c r="Y243" s="1"/>
      <c r="Z243" s="1"/>
    </row>
    <row r="244" spans="1:26" ht="14.25" customHeight="1">
      <c r="A244" s="61" t="s">
        <v>112</v>
      </c>
      <c r="B244" s="69">
        <f>PRODUCT(SEMANAL!$D44,B$222)/1000+PRODUCT(SEMANAL!$B44,B$223)/1000</f>
        <v>3.4</v>
      </c>
      <c r="C244" s="69">
        <f>PRODUCT(SEMANAL!$D44,C$222)/1000+PRODUCT(SEMANAL!$B44,C$223)/1000</f>
        <v>8</v>
      </c>
      <c r="D244" s="69">
        <f>PRODUCT(SEMANAL!$D44,D$222)/1000+PRODUCT(SEMANAL!$B44,D$223)/1000</f>
        <v>0</v>
      </c>
      <c r="E244" s="69">
        <f>PRODUCT(SEMANAL!$D44,E$222)/1000+PRODUCT(SEMANAL!$B44,E$223)/1000</f>
        <v>0</v>
      </c>
      <c r="F244" s="69">
        <f>PRODUCT(SEMANAL!$D44,F$222)/1000+PRODUCT(SEMANAL!$B44,F$223)/1000</f>
        <v>5</v>
      </c>
      <c r="G244" s="69">
        <f>PRODUCT(SEMANAL!$D44,G$222)/1000+PRODUCT(SEMANAL!$B44,G$223)/1000</f>
        <v>2.7</v>
      </c>
      <c r="H244" s="69">
        <f>PRODUCT(SEMANAL!$D44,H$222)/1000+PRODUCT(SEMANAL!$B44,H$223)/1000</f>
        <v>3.1</v>
      </c>
      <c r="I244" s="69">
        <f>PRODUCT(SEMANAL!$D44,I$222)/1000+PRODUCT(SEMANAL!$B44,I$223)/1000</f>
        <v>1.1499999999999999</v>
      </c>
      <c r="J244" s="69">
        <f>PRODUCT(SEMANAL!$D44,J$222)/1000+PRODUCT(SEMANAL!$B44,J$223)/1000</f>
        <v>1.25</v>
      </c>
      <c r="K244" s="69">
        <f>PRODUCT(SEMANAL!$D44,K$222)/1000+PRODUCT(SEMANAL!$B44,K$223)/1000</f>
        <v>2.6</v>
      </c>
      <c r="L244" s="69">
        <f>PRODUCT(SEMANAL!$D44,L$222)/1000+PRODUCT(SEMANAL!$B44,L$223)/1000</f>
        <v>1.5</v>
      </c>
      <c r="M244" s="69">
        <f>PRODUCT(SEMANAL!$D44,M$222)/1000+PRODUCT(SEMANAL!$B44,M$223)/1000</f>
        <v>0.95</v>
      </c>
      <c r="N244" s="69">
        <f>PRODUCT(SEMANAL!$D44,N$222)/1000+PRODUCT(SEMANAL!$B44,N$223)/1000</f>
        <v>5.15</v>
      </c>
      <c r="O244" s="60">
        <f>SUM('OC SECOS y LAC AZUL 2'!B127:N127)</f>
        <v>36</v>
      </c>
      <c r="P244" s="1">
        <v>949</v>
      </c>
      <c r="Q244" s="1">
        <f t="shared" si="8"/>
        <v>34164</v>
      </c>
      <c r="R244" s="20"/>
      <c r="S244" s="20"/>
      <c r="T244" s="20"/>
      <c r="U244" s="21"/>
      <c r="V244" s="1"/>
      <c r="W244" s="1"/>
      <c r="X244" s="1"/>
      <c r="Y244" s="1"/>
      <c r="Z244" s="1"/>
    </row>
    <row r="245" spans="1:26" ht="14.25" customHeight="1">
      <c r="A245" s="61" t="s">
        <v>113</v>
      </c>
      <c r="B245" s="69">
        <f>PRODUCT(SEMANAL!$D45,B$222)/1000+PRODUCT(SEMANAL!$B45,B$223)/1000</f>
        <v>5.0999999999999996</v>
      </c>
      <c r="C245" s="69">
        <f>PRODUCT(SEMANAL!$D45,C$222)/1000+PRODUCT(SEMANAL!$B45,C$223)/1000</f>
        <v>12</v>
      </c>
      <c r="D245" s="69">
        <f>PRODUCT(SEMANAL!$D45,D$222)/1000+PRODUCT(SEMANAL!$B45,D$223)/1000</f>
        <v>0</v>
      </c>
      <c r="E245" s="69">
        <f>PRODUCT(SEMANAL!$D45,E$222)/1000+PRODUCT(SEMANAL!$B45,E$223)/1000</f>
        <v>0</v>
      </c>
      <c r="F245" s="69">
        <f>PRODUCT(SEMANAL!$D45,F$222)/1000+PRODUCT(SEMANAL!$B45,F$223)/1000</f>
        <v>7.5</v>
      </c>
      <c r="G245" s="69">
        <f>PRODUCT(SEMANAL!$D45,G$222)/1000+PRODUCT(SEMANAL!$B45,G$223)/1000</f>
        <v>4.05</v>
      </c>
      <c r="H245" s="69">
        <f>PRODUCT(SEMANAL!$D45,H$222)/1000+PRODUCT(SEMANAL!$B45,H$223)/1000</f>
        <v>4.6500000000000004</v>
      </c>
      <c r="I245" s="69">
        <f>PRODUCT(SEMANAL!$D45,I$222)/1000+PRODUCT(SEMANAL!$B45,I$223)/1000</f>
        <v>1.7250000000000001</v>
      </c>
      <c r="J245" s="69">
        <f>PRODUCT(SEMANAL!$D45,J$222)/1000+PRODUCT(SEMANAL!$B45,J$223)/1000</f>
        <v>1.875</v>
      </c>
      <c r="K245" s="69">
        <f>PRODUCT(SEMANAL!$D45,K$222)/1000+PRODUCT(SEMANAL!$B45,K$223)/1000</f>
        <v>3.9</v>
      </c>
      <c r="L245" s="69">
        <f>PRODUCT(SEMANAL!$D45,L$222)/1000+PRODUCT(SEMANAL!$B45,L$223)/1000</f>
        <v>2.25</v>
      </c>
      <c r="M245" s="69">
        <f>PRODUCT(SEMANAL!$D45,M$222)/1000+PRODUCT(SEMANAL!$B45,M$223)/1000</f>
        <v>1.425</v>
      </c>
      <c r="N245" s="69">
        <f>PRODUCT(SEMANAL!$D45,N$222)/1000+PRODUCT(SEMANAL!$B45,N$223)/1000</f>
        <v>7.7249999999999996</v>
      </c>
      <c r="O245" s="60">
        <f>SUM('OC SECOS y LAC AZUL 2'!B128:N128)</f>
        <v>57</v>
      </c>
      <c r="P245" s="1">
        <v>694</v>
      </c>
      <c r="Q245" s="1">
        <f t="shared" si="8"/>
        <v>39558</v>
      </c>
      <c r="R245" s="20"/>
      <c r="S245" s="20"/>
      <c r="T245" s="20"/>
      <c r="U245" s="21"/>
      <c r="V245" s="1"/>
      <c r="W245" s="1"/>
      <c r="X245" s="1"/>
      <c r="Y245" s="1"/>
      <c r="Z245" s="1"/>
    </row>
    <row r="246" spans="1:26" ht="14.25" customHeight="1">
      <c r="A246" s="61" t="s">
        <v>114</v>
      </c>
      <c r="B246" s="69">
        <f>PRODUCT(SEMANAL!$D46,B$222)/20+PRODUCT(SEMANAL!$B46,B$223)/20</f>
        <v>1.19</v>
      </c>
      <c r="C246" s="69">
        <f>PRODUCT(SEMANAL!$D46,C$222)/20+PRODUCT(SEMANAL!$B46,C$223)/20</f>
        <v>2.8</v>
      </c>
      <c r="D246" s="69">
        <f>PRODUCT(SEMANAL!$D46,D$222)/20+PRODUCT(SEMANAL!$B46,D$223)/20</f>
        <v>0</v>
      </c>
      <c r="E246" s="69">
        <f>PRODUCT(SEMANAL!$D46,E$222)/20+PRODUCT(SEMANAL!$B46,E$223)/20</f>
        <v>0</v>
      </c>
      <c r="F246" s="69">
        <f>PRODUCT(SEMANAL!$D46,F$222)/20+PRODUCT(SEMANAL!$B46,F$223)/20</f>
        <v>1.75</v>
      </c>
      <c r="G246" s="69">
        <f>PRODUCT(SEMANAL!$D46,G$222)/20+PRODUCT(SEMANAL!$B46,G$223)/20</f>
        <v>0.94499999999999995</v>
      </c>
      <c r="H246" s="69">
        <f>PRODUCT(SEMANAL!$D46,H$222)/20+PRODUCT(SEMANAL!$B46,H$223)/20</f>
        <v>1.085</v>
      </c>
      <c r="I246" s="69">
        <f>PRODUCT(SEMANAL!$D46,I$222)/20+PRODUCT(SEMANAL!$B46,I$223)/20</f>
        <v>0.40249999999999997</v>
      </c>
      <c r="J246" s="69">
        <f>PRODUCT(SEMANAL!$D46,J$222)/20+PRODUCT(SEMANAL!$B46,J$223)/20</f>
        <v>0.4375</v>
      </c>
      <c r="K246" s="69">
        <f>PRODUCT(SEMANAL!$D46,K$222)/20+PRODUCT(SEMANAL!$B46,K$223)/20</f>
        <v>0.90999999999999992</v>
      </c>
      <c r="L246" s="69">
        <f>PRODUCT(SEMANAL!$D46,L$222)/20+PRODUCT(SEMANAL!$B46,L$223)/20</f>
        <v>0.52500000000000002</v>
      </c>
      <c r="M246" s="69">
        <f>PRODUCT(SEMANAL!$D46,M$222)/20+PRODUCT(SEMANAL!$B46,M$223)/20</f>
        <v>0.33249999999999996</v>
      </c>
      <c r="N246" s="69">
        <f>PRODUCT(SEMANAL!$D46,N$222)/20+PRODUCT(SEMANAL!$B46,N$223)/20</f>
        <v>1.8024999999999998</v>
      </c>
      <c r="O246" s="60">
        <f>SUM('OC SECOS y LAC AZUL 2'!B129:N129)</f>
        <v>14</v>
      </c>
      <c r="P246" s="1">
        <v>709</v>
      </c>
      <c r="Q246" s="1">
        <f t="shared" si="8"/>
        <v>9926</v>
      </c>
      <c r="R246" s="20"/>
      <c r="S246" s="20"/>
      <c r="T246" s="20"/>
      <c r="U246" s="21"/>
      <c r="V246" s="1"/>
      <c r="W246" s="1"/>
      <c r="X246" s="1"/>
      <c r="Y246" s="1"/>
      <c r="Z246" s="1"/>
    </row>
    <row r="247" spans="1:26" ht="14.25" customHeight="1">
      <c r="A247" s="55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20"/>
      <c r="S247" s="20"/>
      <c r="T247" s="20"/>
      <c r="U247" s="21"/>
      <c r="V247" s="1"/>
      <c r="W247" s="1"/>
      <c r="X247" s="1"/>
      <c r="Y247" s="1"/>
      <c r="Z247" s="1"/>
    </row>
    <row r="248" spans="1:26" ht="14.25" customHeight="1">
      <c r="A248" s="55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20"/>
      <c r="S248" s="20"/>
      <c r="T248" s="20"/>
      <c r="U248" s="2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 t="s">
        <v>33</v>
      </c>
      <c r="Q249" s="1">
        <f>Q224+Q225+Q226+Q227+Q228+Q229+Q230+Q231+Q232+Q233+Q234+Q235+Q236+Q237+Q238+Q239+Q240+Q241+Q242+Q243+Q244+Q245+Q246</f>
        <v>2002652</v>
      </c>
      <c r="R249" s="20"/>
      <c r="S249" s="20"/>
      <c r="T249" s="20"/>
      <c r="U249" s="21"/>
      <c r="V249" s="1"/>
      <c r="W249" s="1"/>
      <c r="X249" s="1"/>
      <c r="Y249" s="1"/>
      <c r="Z249" s="1"/>
    </row>
    <row r="250" spans="1:26" ht="14.25" customHeight="1">
      <c r="A250" s="1"/>
      <c r="B250" s="26" t="s">
        <v>73</v>
      </c>
      <c r="C250" s="26" t="s">
        <v>74</v>
      </c>
      <c r="D250" s="26" t="s">
        <v>75</v>
      </c>
      <c r="E250" s="26" t="s">
        <v>76</v>
      </c>
      <c r="F250" s="26" t="s">
        <v>77</v>
      </c>
      <c r="G250" s="26" t="s">
        <v>78</v>
      </c>
      <c r="H250" s="26" t="s">
        <v>79</v>
      </c>
      <c r="I250" s="26" t="s">
        <v>80</v>
      </c>
      <c r="J250" s="26" t="s">
        <v>81</v>
      </c>
      <c r="K250" s="26" t="s">
        <v>82</v>
      </c>
      <c r="L250" s="26" t="s">
        <v>83</v>
      </c>
      <c r="M250" s="26" t="s">
        <v>84</v>
      </c>
      <c r="N250" s="27" t="s">
        <v>85</v>
      </c>
      <c r="O250" s="26" t="s">
        <v>86</v>
      </c>
      <c r="P250" s="26" t="s">
        <v>87</v>
      </c>
      <c r="Q250" s="26" t="s">
        <v>88</v>
      </c>
      <c r="R250" s="20"/>
      <c r="S250" s="20"/>
      <c r="T250" s="20"/>
      <c r="U250" s="21"/>
      <c r="V250" s="1"/>
      <c r="W250" s="1"/>
      <c r="X250" s="1"/>
      <c r="Y250" s="1"/>
      <c r="Z250" s="1"/>
    </row>
    <row r="251" spans="1:26" ht="14.25" customHeight="1">
      <c r="A251" s="1"/>
      <c r="B251" s="19">
        <v>160</v>
      </c>
      <c r="C251" s="19">
        <v>80</v>
      </c>
      <c r="D251" s="19">
        <v>156</v>
      </c>
      <c r="E251" s="19">
        <v>97</v>
      </c>
      <c r="F251" s="19">
        <v>2</v>
      </c>
      <c r="G251" s="19">
        <v>78</v>
      </c>
      <c r="H251" s="19">
        <v>69</v>
      </c>
      <c r="I251" s="19">
        <v>61</v>
      </c>
      <c r="J251" s="19">
        <v>131</v>
      </c>
      <c r="K251" s="19">
        <v>75</v>
      </c>
      <c r="L251" s="19">
        <v>66</v>
      </c>
      <c r="M251" s="19">
        <v>80</v>
      </c>
      <c r="N251" s="19">
        <v>71</v>
      </c>
      <c r="O251" s="19">
        <v>69</v>
      </c>
      <c r="P251" s="19">
        <v>42</v>
      </c>
      <c r="Q251" s="45">
        <v>70</v>
      </c>
      <c r="R251" s="20"/>
      <c r="S251" s="20"/>
      <c r="T251" s="20"/>
      <c r="U251" s="21"/>
      <c r="V251" s="1"/>
      <c r="W251" s="1"/>
      <c r="X251" s="1"/>
      <c r="Y251" s="1"/>
      <c r="Z251" s="1"/>
    </row>
    <row r="252" spans="1:26" ht="14.25" customHeight="1">
      <c r="A252" s="1"/>
      <c r="B252" s="19">
        <v>0</v>
      </c>
      <c r="C252" s="19">
        <v>0</v>
      </c>
      <c r="D252" s="19">
        <v>0</v>
      </c>
      <c r="E252" s="19">
        <v>0</v>
      </c>
      <c r="F252" s="19">
        <v>0</v>
      </c>
      <c r="G252" s="19">
        <v>0</v>
      </c>
      <c r="H252" s="19">
        <v>0</v>
      </c>
      <c r="I252" s="19">
        <v>0</v>
      </c>
      <c r="J252" s="19">
        <v>40</v>
      </c>
      <c r="K252" s="19">
        <v>0</v>
      </c>
      <c r="L252" s="19">
        <v>0</v>
      </c>
      <c r="M252" s="19">
        <v>0</v>
      </c>
      <c r="N252" s="19">
        <v>0</v>
      </c>
      <c r="O252" s="19">
        <v>0</v>
      </c>
      <c r="P252" s="19">
        <v>0</v>
      </c>
      <c r="Q252" s="147">
        <v>0</v>
      </c>
      <c r="R252" s="20"/>
      <c r="S252" s="20"/>
      <c r="T252" s="20"/>
      <c r="U252" s="21"/>
      <c r="V252" s="1"/>
      <c r="W252" s="1"/>
      <c r="X252" s="1"/>
      <c r="Y252" s="1"/>
      <c r="Z252" s="1"/>
    </row>
    <row r="253" spans="1:26" ht="14.25" customHeight="1">
      <c r="A253" s="22" t="s">
        <v>154</v>
      </c>
      <c r="B253" s="70">
        <f>PRODUCT(SEMANAL!$D24,B$251)/1000+PRODUCT(SEMANAL!$B24,B$252)/1000</f>
        <v>96</v>
      </c>
      <c r="C253" s="70">
        <f>PRODUCT(SEMANAL!$D24,C$251)/1000+PRODUCT(SEMANAL!$B24,C$252)/1000</f>
        <v>48</v>
      </c>
      <c r="D253" s="70">
        <f>PRODUCT(SEMANAL!$D24,D$251)/1000+PRODUCT(SEMANAL!$B24,D$252)/1000</f>
        <v>93.6</v>
      </c>
      <c r="E253" s="70">
        <f>PRODUCT(SEMANAL!$D24,E$251)/1000+PRODUCT(SEMANAL!$B24,E$252)/1000</f>
        <v>58.2</v>
      </c>
      <c r="F253" s="70">
        <f>PRODUCT(SEMANAL!$D24,F$251)/1000+PRODUCT(SEMANAL!$B24,F$252)/1000</f>
        <v>1.2</v>
      </c>
      <c r="G253" s="70">
        <f>PRODUCT(SEMANAL!$D24,G$251)/1000+PRODUCT(SEMANAL!$B24,G$252)/1000</f>
        <v>46.8</v>
      </c>
      <c r="H253" s="70">
        <f>PRODUCT(SEMANAL!$D24,H$251)/1000+PRODUCT(SEMANAL!$B24,H$252)/1000</f>
        <v>41.4</v>
      </c>
      <c r="I253" s="70">
        <f>PRODUCT(SEMANAL!$D24,I$251)/1000+PRODUCT(SEMANAL!$B24,I$252)/1000</f>
        <v>36.6</v>
      </c>
      <c r="J253" s="70">
        <f>PRODUCT(SEMANAL!$D24,J$251)/1000+PRODUCT(SEMANAL!$B24,J$252)/1000</f>
        <v>83.6</v>
      </c>
      <c r="K253" s="70">
        <f>PRODUCT(SEMANAL!$D24,K$251)/1000+PRODUCT(SEMANAL!$B24,K$252)/1000</f>
        <v>45</v>
      </c>
      <c r="L253" s="70">
        <f>PRODUCT(SEMANAL!$D24,L$251)/1000+PRODUCT(SEMANAL!$B24,L$252)/1000</f>
        <v>39.6</v>
      </c>
      <c r="M253" s="70">
        <f>PRODUCT(SEMANAL!$D24,M$251)/1000+PRODUCT(SEMANAL!$B24,M$252)/1000</f>
        <v>48</v>
      </c>
      <c r="N253" s="70">
        <f>PRODUCT(SEMANAL!$D24,N$251)/1000+PRODUCT(SEMANAL!$B24,N$252)/1000</f>
        <v>42.6</v>
      </c>
      <c r="O253" s="70">
        <f>PRODUCT(SEMANAL!$D24,O$251)/1000+PRODUCT(SEMANAL!$B24,O$252)/1000</f>
        <v>41.4</v>
      </c>
      <c r="P253" s="70">
        <f>PRODUCT(SEMANAL!$D24,P$251)/1000+PRODUCT(SEMANAL!$B24,P$252)/1000</f>
        <v>25.2</v>
      </c>
      <c r="Q253" s="70">
        <f>PRODUCT(SEMANAL!$D24,Q$251)/1000+PRODUCT(SEMANAL!$B24,Q$252)/1000</f>
        <v>42</v>
      </c>
      <c r="R253" s="35">
        <f>SUM('OC SECOS y LAC AZUL 2'!B138:Q138)</f>
        <v>246</v>
      </c>
      <c r="S253" s="71">
        <v>1651</v>
      </c>
      <c r="T253" s="71">
        <f t="shared" ref="T253:T275" si="9">R253*S253</f>
        <v>406146</v>
      </c>
      <c r="U253" s="21"/>
      <c r="V253" s="1"/>
      <c r="W253" s="1"/>
      <c r="X253" s="1"/>
      <c r="Y253" s="1"/>
      <c r="Z253" s="1"/>
    </row>
    <row r="254" spans="1:26" ht="14.25" customHeight="1">
      <c r="A254" s="22" t="s">
        <v>155</v>
      </c>
      <c r="B254" s="70">
        <f>PRODUCT(SEMANAL!$D25,B$251)/1000+PRODUCT(SEMANAL!$B25,B$252)/1000</f>
        <v>2.4</v>
      </c>
      <c r="C254" s="70">
        <f>PRODUCT(SEMANAL!$D25,C$251)/1000+PRODUCT(SEMANAL!$B25,C$252)/1000</f>
        <v>1.2</v>
      </c>
      <c r="D254" s="70">
        <f>PRODUCT(SEMANAL!$D25,D$251)/1000+PRODUCT(SEMANAL!$B25,D$252)/1000</f>
        <v>2.34</v>
      </c>
      <c r="E254" s="70">
        <f>PRODUCT(SEMANAL!$D25,E$251)/1000+PRODUCT(SEMANAL!$B25,E$252)/1000</f>
        <v>1.4550000000000001</v>
      </c>
      <c r="F254" s="70">
        <f>PRODUCT(SEMANAL!$D25,F$251)/1000+PRODUCT(SEMANAL!$B25,F$252)/1000</f>
        <v>0.03</v>
      </c>
      <c r="G254" s="70">
        <f>PRODUCT(SEMANAL!$D25,G$251)/1000+PRODUCT(SEMANAL!$B25,G$252)/1000</f>
        <v>1.17</v>
      </c>
      <c r="H254" s="70">
        <f>PRODUCT(SEMANAL!$D25,H$251)/1000+PRODUCT(SEMANAL!$B25,H$252)/1000</f>
        <v>1.0349999999999999</v>
      </c>
      <c r="I254" s="70">
        <f>PRODUCT(SEMANAL!$D25,I$251)/1000+PRODUCT(SEMANAL!$B25,I$252)/1000</f>
        <v>0.91500000000000004</v>
      </c>
      <c r="J254" s="70">
        <f>PRODUCT(SEMANAL!$D25,J$251)/1000+PRODUCT(SEMANAL!$B25,J$252)/1000</f>
        <v>2.2450000000000001</v>
      </c>
      <c r="K254" s="70">
        <f>PRODUCT(SEMANAL!$D25,K$251)/1000+PRODUCT(SEMANAL!$B25,K$252)/1000</f>
        <v>1.125</v>
      </c>
      <c r="L254" s="70">
        <f>PRODUCT(SEMANAL!$D25,L$251)/1000+PRODUCT(SEMANAL!$B25,L$252)/1000</f>
        <v>0.99</v>
      </c>
      <c r="M254" s="70">
        <f>PRODUCT(SEMANAL!$D25,M$251)/1000+PRODUCT(SEMANAL!$B25,M$252)/1000</f>
        <v>1.2</v>
      </c>
      <c r="N254" s="70">
        <f>PRODUCT(SEMANAL!$D25,N$251)/1000+PRODUCT(SEMANAL!$B25,N$252)/1000</f>
        <v>1.0649999999999999</v>
      </c>
      <c r="O254" s="70">
        <f>PRODUCT(SEMANAL!$D25,O$251)/1000+PRODUCT(SEMANAL!$B25,O$252)/1000</f>
        <v>1.0349999999999999</v>
      </c>
      <c r="P254" s="70">
        <f>PRODUCT(SEMANAL!$D25,P$251)/1000+PRODUCT(SEMANAL!$B25,P$252)/1000</f>
        <v>0.63</v>
      </c>
      <c r="Q254" s="70">
        <f>PRODUCT(SEMANAL!$D25,Q$251)/1000+PRODUCT(SEMANAL!$B25,Q$252)/1000</f>
        <v>1.05</v>
      </c>
      <c r="R254" s="35">
        <f>SUM('OC SECOS y LAC AZUL 2'!B139:Q139)</f>
        <v>17</v>
      </c>
      <c r="S254" s="51">
        <v>1274</v>
      </c>
      <c r="T254" s="51">
        <f t="shared" si="9"/>
        <v>21658</v>
      </c>
      <c r="U254" s="1"/>
      <c r="V254" s="1"/>
      <c r="W254" s="1"/>
      <c r="X254" s="1"/>
      <c r="Y254" s="21"/>
      <c r="Z254" s="1"/>
    </row>
    <row r="255" spans="1:26" ht="14.25" customHeight="1">
      <c r="A255" s="22" t="s">
        <v>156</v>
      </c>
      <c r="B255" s="70">
        <f>PRODUCT(SEMANAL!$D26,B$251)/25+PRODUCT(SEMANAL!$B26,B$252)/25</f>
        <v>9.6</v>
      </c>
      <c r="C255" s="70">
        <f>PRODUCT(SEMANAL!$D26,C$251)/25+PRODUCT(SEMANAL!$B26,C$252)/25</f>
        <v>4.8</v>
      </c>
      <c r="D255" s="70">
        <f>PRODUCT(SEMANAL!$D26,D$251)/25+PRODUCT(SEMANAL!$B26,D$252)/25</f>
        <v>9.36</v>
      </c>
      <c r="E255" s="70">
        <f>PRODUCT(SEMANAL!$D26,E$251)/25+PRODUCT(SEMANAL!$B26,E$252)/25</f>
        <v>5.82</v>
      </c>
      <c r="F255" s="70">
        <f>PRODUCT(SEMANAL!$D26,F$251)/25+PRODUCT(SEMANAL!$B26,F$252)/25</f>
        <v>0.12</v>
      </c>
      <c r="G255" s="70">
        <f>PRODUCT(SEMANAL!$D26,G$251)/25+PRODUCT(SEMANAL!$B26,G$252)/25</f>
        <v>4.68</v>
      </c>
      <c r="H255" s="70">
        <f>PRODUCT(SEMANAL!$D26,H$251)/25+PRODUCT(SEMANAL!$B26,H$252)/25</f>
        <v>4.1399999999999997</v>
      </c>
      <c r="I255" s="70">
        <f>PRODUCT(SEMANAL!$D26,I$251)/25+PRODUCT(SEMANAL!$B26,I$252)/25</f>
        <v>3.66</v>
      </c>
      <c r="J255" s="70">
        <f>PRODUCT(SEMANAL!$D26,J$251)/25+PRODUCT(SEMANAL!$B26,J$252)/25</f>
        <v>7.86</v>
      </c>
      <c r="K255" s="70">
        <f>PRODUCT(SEMANAL!$D26,K$251)/25+PRODUCT(SEMANAL!$B26,K$252)/25</f>
        <v>4.5</v>
      </c>
      <c r="L255" s="70">
        <f>PRODUCT(SEMANAL!$D26,L$251)/25+PRODUCT(SEMANAL!$B26,L$252)/25</f>
        <v>3.96</v>
      </c>
      <c r="M255" s="70">
        <f>PRODUCT(SEMANAL!$D26,M$251)/25+PRODUCT(SEMANAL!$B26,M$252)/25</f>
        <v>4.8</v>
      </c>
      <c r="N255" s="70">
        <f>PRODUCT(SEMANAL!$D26,N$251)/25+PRODUCT(SEMANAL!$B26,N$252)/25</f>
        <v>4.26</v>
      </c>
      <c r="O255" s="70">
        <f>PRODUCT(SEMANAL!$D26,O$251)/25+PRODUCT(SEMANAL!$B26,O$252)/25</f>
        <v>4.1399999999999997</v>
      </c>
      <c r="P255" s="70">
        <f>PRODUCT(SEMANAL!$D26,P$251)/25+PRODUCT(SEMANAL!$B26,P$252)/25</f>
        <v>2.52</v>
      </c>
      <c r="Q255" s="70">
        <f>PRODUCT(SEMANAL!$D26,Q$251)/25+PRODUCT(SEMANAL!$B26,Q$252)/25</f>
        <v>4.2</v>
      </c>
      <c r="R255" s="35">
        <f>SUM('OC SECOS y LAC AZUL 2'!B140:Q140)</f>
        <v>7</v>
      </c>
      <c r="S255" s="51">
        <v>536</v>
      </c>
      <c r="T255" s="51">
        <f t="shared" si="9"/>
        <v>3752</v>
      </c>
      <c r="U255" s="1"/>
      <c r="V255" s="1"/>
      <c r="W255" s="1"/>
      <c r="X255" s="1"/>
      <c r="Y255" s="1"/>
      <c r="Z255" s="1"/>
    </row>
    <row r="256" spans="1:26" ht="14.25" customHeight="1">
      <c r="A256" s="22" t="s">
        <v>95</v>
      </c>
      <c r="B256" s="70">
        <f>PRODUCT(SEMANAL!$D27,B$251)/360+PRODUCT(SEMANAL!$B27,B$252)/360</f>
        <v>8.8888888888888893</v>
      </c>
      <c r="C256" s="70">
        <f>PRODUCT(SEMANAL!$D27,C$251)/360+PRODUCT(SEMANAL!$B27,C$252)/360</f>
        <v>4.4444444444444446</v>
      </c>
      <c r="D256" s="70">
        <f>PRODUCT(SEMANAL!$D27,D$251)/360+PRODUCT(SEMANAL!$B27,D$252)/360</f>
        <v>8.6666666666666661</v>
      </c>
      <c r="E256" s="70">
        <f>PRODUCT(SEMANAL!$D27,E$251)/360+PRODUCT(SEMANAL!$B27,E$252)/360</f>
        <v>5.3888888888888893</v>
      </c>
      <c r="F256" s="70">
        <f>PRODUCT(SEMANAL!$D27,F$251)/360+PRODUCT(SEMANAL!$B27,F$252)/360</f>
        <v>0.1111111111111111</v>
      </c>
      <c r="G256" s="70">
        <f>PRODUCT(SEMANAL!$D27,G$251)/360+PRODUCT(SEMANAL!$B27,G$252)/360</f>
        <v>4.333333333333333</v>
      </c>
      <c r="H256" s="70">
        <f>PRODUCT(SEMANAL!$D27,H$251)/360+PRODUCT(SEMANAL!$B27,H$252)/360</f>
        <v>3.8333333333333335</v>
      </c>
      <c r="I256" s="70">
        <f>PRODUCT(SEMANAL!$D27,I$251)/360+PRODUCT(SEMANAL!$B27,I$252)/360</f>
        <v>3.3888888888888888</v>
      </c>
      <c r="J256" s="70">
        <f>PRODUCT(SEMANAL!$D27,J$251)/360+PRODUCT(SEMANAL!$B27,J$252)/360</f>
        <v>7.2777777777777777</v>
      </c>
      <c r="K256" s="70">
        <f>PRODUCT(SEMANAL!$D27,K$251)/360+PRODUCT(SEMANAL!$B27,K$252)/360</f>
        <v>4.166666666666667</v>
      </c>
      <c r="L256" s="70">
        <f>PRODUCT(SEMANAL!$D27,L$251)/360+PRODUCT(SEMANAL!$B27,L$252)/360</f>
        <v>3.6666666666666665</v>
      </c>
      <c r="M256" s="70">
        <f>PRODUCT(SEMANAL!$D27,M$251)/360+PRODUCT(SEMANAL!$B27,M$252)/360</f>
        <v>4.4444444444444446</v>
      </c>
      <c r="N256" s="70">
        <f>PRODUCT(SEMANAL!$D27,N$251)/360+PRODUCT(SEMANAL!$B27,N$252)/360</f>
        <v>3.9444444444444446</v>
      </c>
      <c r="O256" s="70">
        <f>PRODUCT(SEMANAL!$D27,O$251)/360+PRODUCT(SEMANAL!$B27,O$252)/360</f>
        <v>3.8333333333333335</v>
      </c>
      <c r="P256" s="70">
        <f>PRODUCT(SEMANAL!$D27,P$251)/360+PRODUCT(SEMANAL!$B27,P$252)/360</f>
        <v>2.3333333333333335</v>
      </c>
      <c r="Q256" s="70">
        <f>PRODUCT(SEMANAL!$D27,Q$251)/360+PRODUCT(SEMANAL!$B27,Q$252)/360</f>
        <v>3.8888888888888888</v>
      </c>
      <c r="R256" s="35">
        <f>SUM('OC SECOS y LAC AZUL 2'!B141:Q141)</f>
        <v>32</v>
      </c>
      <c r="S256" s="72">
        <v>2141</v>
      </c>
      <c r="T256" s="73">
        <f t="shared" si="9"/>
        <v>68512</v>
      </c>
      <c r="U256" s="1"/>
      <c r="V256" s="1"/>
      <c r="W256" s="1"/>
      <c r="X256" s="1"/>
      <c r="Y256" s="21"/>
      <c r="Z256" s="1"/>
    </row>
    <row r="257" spans="1:26" ht="14.25" customHeight="1">
      <c r="A257" s="22" t="s">
        <v>157</v>
      </c>
      <c r="B257" s="70">
        <f>PRODUCT(SEMANAL!$D28,B$251)/400+PRODUCT(SEMANAL!$B28,B$252)/400</f>
        <v>12</v>
      </c>
      <c r="C257" s="70">
        <f>PRODUCT(SEMANAL!$D28,C$251)/400+PRODUCT(SEMANAL!$B28,C$252)/400</f>
        <v>6</v>
      </c>
      <c r="D257" s="70">
        <f>PRODUCT(SEMANAL!$D28,D$251)/400+PRODUCT(SEMANAL!$B28,D$252)/400</f>
        <v>11.7</v>
      </c>
      <c r="E257" s="70">
        <f>PRODUCT(SEMANAL!$D28,E$251)/400+PRODUCT(SEMANAL!$B28,E$252)/400</f>
        <v>7.2750000000000004</v>
      </c>
      <c r="F257" s="70">
        <f>PRODUCT(SEMANAL!$D28,F$251)/400+PRODUCT(SEMANAL!$B28,F$252)/400</f>
        <v>0.15</v>
      </c>
      <c r="G257" s="70">
        <f>PRODUCT(SEMANAL!$D28,G$251)/400+PRODUCT(SEMANAL!$B28,G$252)/400</f>
        <v>5.85</v>
      </c>
      <c r="H257" s="70">
        <f>PRODUCT(SEMANAL!$D28,H$251)/400+PRODUCT(SEMANAL!$B28,H$252)/400</f>
        <v>5.1749999999999998</v>
      </c>
      <c r="I257" s="70">
        <f>PRODUCT(SEMANAL!$D28,I$251)/400+PRODUCT(SEMANAL!$B28,I$252)/400</f>
        <v>4.5750000000000002</v>
      </c>
      <c r="J257" s="70">
        <f>PRODUCT(SEMANAL!$D28,J$251)/400+PRODUCT(SEMANAL!$B28,J$252)/400</f>
        <v>9.8249999999999993</v>
      </c>
      <c r="K257" s="70">
        <f>PRODUCT(SEMANAL!$D28,K$251)/400+PRODUCT(SEMANAL!$B28,K$252)/400</f>
        <v>5.625</v>
      </c>
      <c r="L257" s="70">
        <f>PRODUCT(SEMANAL!$D28,L$251)/400+PRODUCT(SEMANAL!$B28,L$252)/400</f>
        <v>4.95</v>
      </c>
      <c r="M257" s="70">
        <f>PRODUCT(SEMANAL!$D28,M$251)/400+PRODUCT(SEMANAL!$B28,M$252)/400</f>
        <v>6</v>
      </c>
      <c r="N257" s="70">
        <f>PRODUCT(SEMANAL!$D28,N$251)/400+PRODUCT(SEMANAL!$B28,N$252)/400</f>
        <v>5.3250000000000002</v>
      </c>
      <c r="O257" s="70">
        <f>PRODUCT(SEMANAL!$D28,O$251)/400+PRODUCT(SEMANAL!$B28,O$252)/400</f>
        <v>5.1749999999999998</v>
      </c>
      <c r="P257" s="70">
        <f>PRODUCT(SEMANAL!$D28,P$251)/400+PRODUCT(SEMANAL!$B28,P$252)/400</f>
        <v>3.15</v>
      </c>
      <c r="Q257" s="70">
        <f>PRODUCT(SEMANAL!$D28,Q$251)/400+PRODUCT(SEMANAL!$B28,Q$252)/400</f>
        <v>5.25</v>
      </c>
      <c r="R257" s="35">
        <f>SUM('OC SECOS y LAC AZUL 2'!B142:Q142)</f>
        <v>44</v>
      </c>
      <c r="S257" s="74">
        <v>1755</v>
      </c>
      <c r="T257" s="75">
        <f t="shared" si="9"/>
        <v>77220</v>
      </c>
      <c r="U257" s="1"/>
      <c r="V257" s="1"/>
      <c r="W257" s="1"/>
      <c r="X257" s="1"/>
      <c r="Y257" s="1"/>
      <c r="Z257" s="1"/>
    </row>
    <row r="258" spans="1:26" ht="14.25" customHeight="1">
      <c r="A258" s="22" t="s">
        <v>158</v>
      </c>
      <c r="B258" s="70">
        <f>PRODUCT(SEMANAL!$D29,B$251)/1000+PRODUCT(SEMANAL!$B29,B$252)/1000</f>
        <v>3.2</v>
      </c>
      <c r="C258" s="70">
        <f>PRODUCT(SEMANAL!$D29,C$251)/1000+PRODUCT(SEMANAL!$B29,C$252)/1000</f>
        <v>1.6</v>
      </c>
      <c r="D258" s="70">
        <f>PRODUCT(SEMANAL!$D29,D$251)/1000+PRODUCT(SEMANAL!$B29,D$252)/1000</f>
        <v>3.12</v>
      </c>
      <c r="E258" s="70">
        <f>PRODUCT(SEMANAL!$D29,E$251)/1000+PRODUCT(SEMANAL!$B29,E$252)/1000</f>
        <v>1.94</v>
      </c>
      <c r="F258" s="70">
        <f>PRODUCT(SEMANAL!$D29,F$251)/1000+PRODUCT(SEMANAL!$B29,F$252)/1000</f>
        <v>0.04</v>
      </c>
      <c r="G258" s="70">
        <f>PRODUCT(SEMANAL!$D29,G$251)/1000+PRODUCT(SEMANAL!$B29,G$252)/1000</f>
        <v>1.56</v>
      </c>
      <c r="H258" s="70">
        <f>PRODUCT(SEMANAL!$D29,H$251)/1000+PRODUCT(SEMANAL!$B29,H$252)/1000</f>
        <v>1.38</v>
      </c>
      <c r="I258" s="70">
        <f>PRODUCT(SEMANAL!$D29,I$251)/1000+PRODUCT(SEMANAL!$B29,I$252)/1000</f>
        <v>1.22</v>
      </c>
      <c r="J258" s="70">
        <f>PRODUCT(SEMANAL!$D29,J$251)/1000+PRODUCT(SEMANAL!$B29,J$252)/1000</f>
        <v>2.62</v>
      </c>
      <c r="K258" s="70">
        <f>PRODUCT(SEMANAL!$D29,K$251)/1000+PRODUCT(SEMANAL!$B29,K$252)/1000</f>
        <v>1.5</v>
      </c>
      <c r="L258" s="70">
        <f>PRODUCT(SEMANAL!$D29,L$251)/1000+PRODUCT(SEMANAL!$B29,L$252)/1000</f>
        <v>1.32</v>
      </c>
      <c r="M258" s="70">
        <f>PRODUCT(SEMANAL!$D29,M$251)/1000+PRODUCT(SEMANAL!$B29,M$252)/1000</f>
        <v>1.6</v>
      </c>
      <c r="N258" s="70">
        <f>PRODUCT(SEMANAL!$D29,N$251)/1000+PRODUCT(SEMANAL!$B29,N$252)/1000</f>
        <v>1.42</v>
      </c>
      <c r="O258" s="70">
        <f>PRODUCT(SEMANAL!$D29,O$251)/1000+PRODUCT(SEMANAL!$B29,O$252)/1000</f>
        <v>1.38</v>
      </c>
      <c r="P258" s="70">
        <f>PRODUCT(SEMANAL!$D29,P$251)/1000+PRODUCT(SEMANAL!$B29,P$252)/1000</f>
        <v>0.84</v>
      </c>
      <c r="Q258" s="70">
        <f>PRODUCT(SEMANAL!$D29,Q$251)/1000+PRODUCT(SEMANAL!$B29,Q$252)/1000</f>
        <v>1.4</v>
      </c>
      <c r="R258" s="35">
        <f>SUM('OC SECOS y LAC AZUL 2'!B143:Q143)</f>
        <v>22</v>
      </c>
      <c r="S258" s="72">
        <v>2125</v>
      </c>
      <c r="T258" s="72">
        <f t="shared" si="9"/>
        <v>46750</v>
      </c>
      <c r="U258" s="1"/>
      <c r="V258" s="1"/>
      <c r="W258" s="1"/>
      <c r="X258" s="1"/>
      <c r="Y258" s="1"/>
      <c r="Z258" s="1"/>
    </row>
    <row r="259" spans="1:26" ht="14.25" customHeight="1">
      <c r="A259" s="22" t="s">
        <v>98</v>
      </c>
      <c r="B259" s="70">
        <f>PRODUCT(SEMANAL!$D30,B$251)/1000+PRODUCT(SEMANAL!$B30,B$252)/1000</f>
        <v>0</v>
      </c>
      <c r="C259" s="70">
        <f>PRODUCT(SEMANAL!$D30,C$251)/1000+PRODUCT(SEMANAL!$B30,C$252)/1000</f>
        <v>0</v>
      </c>
      <c r="D259" s="70">
        <f>PRODUCT(SEMANAL!$D30,D$251)/1000+PRODUCT(SEMANAL!$B30,D$252)/1000</f>
        <v>0</v>
      </c>
      <c r="E259" s="70">
        <f>PRODUCT(SEMANAL!$D30,E$251)/1000+PRODUCT(SEMANAL!$B30,E$252)/1000</f>
        <v>0</v>
      </c>
      <c r="F259" s="70">
        <f>PRODUCT(SEMANAL!$D30,F$251)/1000+PRODUCT(SEMANAL!$B30,F$252)/1000</f>
        <v>0</v>
      </c>
      <c r="G259" s="70">
        <f>PRODUCT(SEMANAL!$D30,G$251)/1000+PRODUCT(SEMANAL!$B30,G$252)/1000</f>
        <v>0</v>
      </c>
      <c r="H259" s="70">
        <f>PRODUCT(SEMANAL!$D30,H$251)/1000+PRODUCT(SEMANAL!$B30,H$252)/1000</f>
        <v>0</v>
      </c>
      <c r="I259" s="70">
        <f>PRODUCT(SEMANAL!$D30,I$251)/1000+PRODUCT(SEMANAL!$B30,I$252)/1000</f>
        <v>0</v>
      </c>
      <c r="J259" s="70">
        <f>PRODUCT(SEMANAL!$D30,J$251)/1000+PRODUCT(SEMANAL!$B30,J$252)/1000</f>
        <v>2</v>
      </c>
      <c r="K259" s="70">
        <f>PRODUCT(SEMANAL!$D30,K$251)/1000+PRODUCT(SEMANAL!$B30,K$252)/1000</f>
        <v>0</v>
      </c>
      <c r="L259" s="70">
        <f>PRODUCT(SEMANAL!$D30,L$251)/1000+PRODUCT(SEMANAL!$B30,L$252)/1000</f>
        <v>0</v>
      </c>
      <c r="M259" s="70">
        <f>PRODUCT(SEMANAL!$D30,M$251)/1000+PRODUCT(SEMANAL!$B30,M$252)/1000</f>
        <v>0</v>
      </c>
      <c r="N259" s="70">
        <f>PRODUCT(SEMANAL!$D30,N$251)/1000+PRODUCT(SEMANAL!$B30,N$252)/1000</f>
        <v>0</v>
      </c>
      <c r="O259" s="70">
        <f>PRODUCT(SEMANAL!$D30,O$251)/1000+PRODUCT(SEMANAL!$B30,O$252)/1000</f>
        <v>0</v>
      </c>
      <c r="P259" s="70">
        <f>PRODUCT(SEMANAL!$D30,P$251)/1000+PRODUCT(SEMANAL!$B30,P$252)/1000</f>
        <v>0</v>
      </c>
      <c r="Q259" s="70">
        <f>PRODUCT(SEMANAL!$D30,Q$251)/1000+PRODUCT(SEMANAL!$B30,Q$252)/1000</f>
        <v>0</v>
      </c>
      <c r="R259" s="35">
        <f>SUM('OC SECOS y LAC AZUL 2'!B144:Q144)</f>
        <v>2</v>
      </c>
      <c r="S259" s="13">
        <v>8692</v>
      </c>
      <c r="T259" s="13">
        <f t="shared" si="9"/>
        <v>17384</v>
      </c>
      <c r="U259" s="1"/>
      <c r="V259" s="1"/>
      <c r="W259" s="1"/>
      <c r="X259" s="1"/>
      <c r="Y259" s="1"/>
      <c r="Z259" s="1"/>
    </row>
    <row r="260" spans="1:26" ht="14.25" customHeight="1">
      <c r="A260" s="22" t="s">
        <v>159</v>
      </c>
      <c r="B260" s="70">
        <f>PRODUCT(SEMANAL!$D31,B$251)/900+PRODUCT(SEMANAL!$B31,B$252)/900</f>
        <v>0</v>
      </c>
      <c r="C260" s="70">
        <f>PRODUCT(SEMANAL!$D31,C$251)/900+PRODUCT(SEMANAL!$B31,C$252)/900</f>
        <v>0</v>
      </c>
      <c r="D260" s="70">
        <f>PRODUCT(SEMANAL!$D31,D$251)/900+PRODUCT(SEMANAL!$B31,D$252)/900</f>
        <v>0</v>
      </c>
      <c r="E260" s="70">
        <f>PRODUCT(SEMANAL!$D31,E$251)/900+PRODUCT(SEMANAL!$B31,E$252)/900</f>
        <v>0</v>
      </c>
      <c r="F260" s="70">
        <f>PRODUCT(SEMANAL!$D31,F$251)/900+PRODUCT(SEMANAL!$B31,F$252)/900</f>
        <v>0</v>
      </c>
      <c r="G260" s="70">
        <f>PRODUCT(SEMANAL!$D31,G$251)/900+PRODUCT(SEMANAL!$B31,G$252)/900</f>
        <v>0</v>
      </c>
      <c r="H260" s="70">
        <f>PRODUCT(SEMANAL!$D31,H$251)/900+PRODUCT(SEMANAL!$B31,H$252)/900</f>
        <v>0</v>
      </c>
      <c r="I260" s="70">
        <f>PRODUCT(SEMANAL!$D31,I$251)/900+PRODUCT(SEMANAL!$B31,I$252)/900</f>
        <v>0</v>
      </c>
      <c r="J260" s="70">
        <f>PRODUCT(SEMANAL!$D31,J$251)/900+PRODUCT(SEMANAL!$B31,J$252)/900</f>
        <v>1.3333333333333333</v>
      </c>
      <c r="K260" s="70">
        <f>PRODUCT(SEMANAL!$D31,K$251)/900+PRODUCT(SEMANAL!$B31,K$252)/900</f>
        <v>0</v>
      </c>
      <c r="L260" s="70">
        <f>PRODUCT(SEMANAL!$D31,L$251)/900+PRODUCT(SEMANAL!$B31,L$252)/900</f>
        <v>0</v>
      </c>
      <c r="M260" s="70">
        <f>PRODUCT(SEMANAL!$D31,M$251)/900+PRODUCT(SEMANAL!$B31,M$252)/900</f>
        <v>0</v>
      </c>
      <c r="N260" s="70">
        <f>PRODUCT(SEMANAL!$D31,N$251)/900+PRODUCT(SEMANAL!$B31,N$252)/900</f>
        <v>0</v>
      </c>
      <c r="O260" s="70">
        <f>PRODUCT(SEMANAL!$D31,O$251)/900+PRODUCT(SEMANAL!$B31,O$252)/900</f>
        <v>0</v>
      </c>
      <c r="P260" s="70">
        <f>PRODUCT(SEMANAL!$D31,P$251)/900+PRODUCT(SEMANAL!$B31,P$252)/900</f>
        <v>0</v>
      </c>
      <c r="Q260" s="70">
        <f>PRODUCT(SEMANAL!$D31,Q$251)/900+PRODUCT(SEMANAL!$B31,Q$252)/900</f>
        <v>0</v>
      </c>
      <c r="R260" s="35">
        <f>SUM('OC SECOS y LAC AZUL 2'!B145:Q145)</f>
        <v>0</v>
      </c>
      <c r="S260" s="76">
        <v>2365</v>
      </c>
      <c r="T260" s="76">
        <f t="shared" si="9"/>
        <v>0</v>
      </c>
      <c r="U260" s="1"/>
      <c r="V260" s="1"/>
      <c r="W260" s="1"/>
      <c r="X260" s="1"/>
      <c r="Y260" s="1"/>
      <c r="Z260" s="1"/>
    </row>
    <row r="261" spans="1:26" ht="14.25" customHeight="1">
      <c r="A261" s="22" t="s">
        <v>160</v>
      </c>
      <c r="B261" s="70">
        <f>PRODUCT(SEMANAL!$D32,B$251)/1000+PRODUCT(SEMANAL!$B32,B$252)/1000</f>
        <v>0</v>
      </c>
      <c r="C261" s="70">
        <f>PRODUCT(SEMANAL!$D32,C$251)/1000+PRODUCT(SEMANAL!$B32,C$252)/1000</f>
        <v>0</v>
      </c>
      <c r="D261" s="70">
        <f>PRODUCT(SEMANAL!$D32,D$251)/1000+PRODUCT(SEMANAL!$B32,D$252)/1000</f>
        <v>0</v>
      </c>
      <c r="E261" s="70">
        <f>PRODUCT(SEMANAL!$D32,E$251)/1000+PRODUCT(SEMANAL!$B32,E$252)/1000</f>
        <v>0</v>
      </c>
      <c r="F261" s="70">
        <f>PRODUCT(SEMANAL!$D32,F$251)/1000+PRODUCT(SEMANAL!$B32,F$252)/1000</f>
        <v>0</v>
      </c>
      <c r="G261" s="70">
        <f>PRODUCT(SEMANAL!$D32,G$251)/1000+PRODUCT(SEMANAL!$B32,G$252)/1000</f>
        <v>0</v>
      </c>
      <c r="H261" s="70">
        <f>PRODUCT(SEMANAL!$D32,H$251)/1000+PRODUCT(SEMANAL!$B32,H$252)/1000</f>
        <v>0</v>
      </c>
      <c r="I261" s="70">
        <f>PRODUCT(SEMANAL!$D32,I$251)/1000+PRODUCT(SEMANAL!$B32,I$252)/1000</f>
        <v>0</v>
      </c>
      <c r="J261" s="70">
        <f>PRODUCT(SEMANAL!$D32,J$251)/1000+PRODUCT(SEMANAL!$B32,J$252)/1000</f>
        <v>3.2</v>
      </c>
      <c r="K261" s="70">
        <f>PRODUCT(SEMANAL!$D32,K$251)/1000+PRODUCT(SEMANAL!$B32,K$252)/1000</f>
        <v>0</v>
      </c>
      <c r="L261" s="70">
        <f>PRODUCT(SEMANAL!$D32,L$251)/1000+PRODUCT(SEMANAL!$B32,L$252)/1000</f>
        <v>0</v>
      </c>
      <c r="M261" s="70">
        <f>PRODUCT(SEMANAL!$D32,M$251)/1000+PRODUCT(SEMANAL!$B32,M$252)/1000</f>
        <v>0</v>
      </c>
      <c r="N261" s="70">
        <f>PRODUCT(SEMANAL!$D32,N$251)/1000+PRODUCT(SEMANAL!$B32,N$252)/1000</f>
        <v>0</v>
      </c>
      <c r="O261" s="70">
        <f>PRODUCT(SEMANAL!$D32,O$251)/1000+PRODUCT(SEMANAL!$B32,O$252)/1000</f>
        <v>0</v>
      </c>
      <c r="P261" s="70">
        <f>PRODUCT(SEMANAL!$D32,P$251)/1000+PRODUCT(SEMANAL!$B32,P$252)/1000</f>
        <v>0</v>
      </c>
      <c r="Q261" s="70">
        <f>PRODUCT(SEMANAL!$D32,Q$251)/1000+PRODUCT(SEMANAL!$B32,Q$252)/1000</f>
        <v>0</v>
      </c>
      <c r="R261" s="35">
        <f>SUM('OC SECOS y LAC AZUL 2'!B146:Q146)</f>
        <v>0</v>
      </c>
      <c r="S261" s="73">
        <v>949</v>
      </c>
      <c r="T261" s="73">
        <f t="shared" si="9"/>
        <v>0</v>
      </c>
      <c r="U261" s="1"/>
      <c r="V261" s="1"/>
      <c r="W261" s="1"/>
      <c r="X261" s="1"/>
      <c r="Y261" s="1"/>
      <c r="Z261" s="1"/>
    </row>
    <row r="262" spans="1:26" ht="14.25" customHeight="1">
      <c r="A262" s="22" t="s">
        <v>161</v>
      </c>
      <c r="B262" s="70">
        <f>PRODUCT(SEMANAL!$D33,B$251)/340+PRODUCT(SEMANAL!$B33,B$252)/340</f>
        <v>0</v>
      </c>
      <c r="C262" s="70">
        <f>PRODUCT(SEMANAL!$D33,C$251)/340+PRODUCT(SEMANAL!$B33,C$252)/340</f>
        <v>0</v>
      </c>
      <c r="D262" s="70">
        <f>PRODUCT(SEMANAL!$D33,D$251)/340+PRODUCT(SEMANAL!$B33,D$252)/340</f>
        <v>0</v>
      </c>
      <c r="E262" s="70">
        <f>PRODUCT(SEMANAL!$D33,E$251)/340+PRODUCT(SEMANAL!$B33,E$252)/340</f>
        <v>0</v>
      </c>
      <c r="F262" s="70">
        <f>PRODUCT(SEMANAL!$D33,F$251)/340+PRODUCT(SEMANAL!$B33,F$252)/340</f>
        <v>0</v>
      </c>
      <c r="G262" s="70">
        <f>PRODUCT(SEMANAL!$D33,G$251)/340+PRODUCT(SEMANAL!$B33,G$252)/340</f>
        <v>0</v>
      </c>
      <c r="H262" s="70">
        <f>PRODUCT(SEMANAL!$D33,H$251)/340+PRODUCT(SEMANAL!$B33,H$252)/340</f>
        <v>0</v>
      </c>
      <c r="I262" s="70">
        <f>PRODUCT(SEMANAL!$D33,I$251)/340+PRODUCT(SEMANAL!$B33,I$252)/340</f>
        <v>0</v>
      </c>
      <c r="J262" s="70">
        <f>PRODUCT(SEMANAL!$D33,J$251)/340+PRODUCT(SEMANAL!$B33,J$252)/340</f>
        <v>0</v>
      </c>
      <c r="K262" s="70">
        <f>PRODUCT(SEMANAL!$D33,K$251)/340+PRODUCT(SEMANAL!$B33,K$252)/340</f>
        <v>0</v>
      </c>
      <c r="L262" s="70">
        <f>PRODUCT(SEMANAL!$D33,L$251)/340+PRODUCT(SEMANAL!$B33,L$252)/340</f>
        <v>0</v>
      </c>
      <c r="M262" s="70">
        <f>PRODUCT(SEMANAL!$D33,M$251)/340+PRODUCT(SEMANAL!$B33,M$252)/340</f>
        <v>0</v>
      </c>
      <c r="N262" s="70">
        <f>PRODUCT(SEMANAL!$D33,N$251)/340+PRODUCT(SEMANAL!$B33,N$252)/340</f>
        <v>0</v>
      </c>
      <c r="O262" s="70">
        <f>PRODUCT(SEMANAL!$D33,O$251)/340+PRODUCT(SEMANAL!$B33,O$252)/340</f>
        <v>0</v>
      </c>
      <c r="P262" s="70">
        <f>PRODUCT(SEMANAL!$D33,P$251)/340+PRODUCT(SEMANAL!$B33,P$252)/340</f>
        <v>0</v>
      </c>
      <c r="Q262" s="70">
        <f>PRODUCT(SEMANAL!$D33,Q$251)/340+PRODUCT(SEMANAL!$B33,Q$252)/340</f>
        <v>0</v>
      </c>
      <c r="R262" s="35">
        <f>SUM('OC SECOS y LAC AZUL 2'!B147:Q147)</f>
        <v>0</v>
      </c>
      <c r="S262" s="71">
        <v>518</v>
      </c>
      <c r="T262" s="71">
        <f t="shared" si="9"/>
        <v>0</v>
      </c>
      <c r="U262" s="21"/>
      <c r="V262" s="1"/>
      <c r="W262" s="1"/>
      <c r="X262" s="1"/>
      <c r="Y262" s="1"/>
      <c r="Z262" s="1"/>
    </row>
    <row r="263" spans="1:26" ht="14.25" customHeight="1">
      <c r="A263" s="22" t="s">
        <v>162</v>
      </c>
      <c r="B263" s="70">
        <f>PRODUCT(SEMANAL!$D34,B$251)/350+PRODUCT(SEMANAL!$B34,B$252)/350</f>
        <v>0</v>
      </c>
      <c r="C263" s="70">
        <f>PRODUCT(SEMANAL!$D34,C$251)/350+PRODUCT(SEMANAL!$B34,C$252)/350</f>
        <v>0</v>
      </c>
      <c r="D263" s="70">
        <f>PRODUCT(SEMANAL!$D34,D$251)/350+PRODUCT(SEMANAL!$B34,D$252)/350</f>
        <v>0</v>
      </c>
      <c r="E263" s="70">
        <f>PRODUCT(SEMANAL!$D34,E$251)/350+PRODUCT(SEMANAL!$B34,E$252)/350</f>
        <v>0</v>
      </c>
      <c r="F263" s="70">
        <f>PRODUCT(SEMANAL!$D34,F$251)/350+PRODUCT(SEMANAL!$B34,F$252)/350</f>
        <v>0</v>
      </c>
      <c r="G263" s="70">
        <f>PRODUCT(SEMANAL!$D34,G$251)/350+PRODUCT(SEMANAL!$B34,G$252)/350</f>
        <v>0</v>
      </c>
      <c r="H263" s="70">
        <f>PRODUCT(SEMANAL!$D34,H$251)/350+PRODUCT(SEMANAL!$B34,H$252)/350</f>
        <v>0</v>
      </c>
      <c r="I263" s="70">
        <f>PRODUCT(SEMANAL!$D34,I$251)/350+PRODUCT(SEMANAL!$B34,I$252)/350</f>
        <v>0</v>
      </c>
      <c r="J263" s="70">
        <f>PRODUCT(SEMANAL!$D34,J$251)/350+PRODUCT(SEMANAL!$B34,J$252)/350</f>
        <v>4.5714285714285712</v>
      </c>
      <c r="K263" s="70">
        <f>PRODUCT(SEMANAL!$D34,K$251)/350+PRODUCT(SEMANAL!$B34,K$252)/350</f>
        <v>0</v>
      </c>
      <c r="L263" s="70">
        <f>PRODUCT(SEMANAL!$D34,L$251)/350+PRODUCT(SEMANAL!$B34,L$252)/350</f>
        <v>0</v>
      </c>
      <c r="M263" s="70">
        <f>PRODUCT(SEMANAL!$D34,M$251)/350+PRODUCT(SEMANAL!$B34,M$252)/350</f>
        <v>0</v>
      </c>
      <c r="N263" s="70">
        <f>PRODUCT(SEMANAL!$D34,N$251)/350+PRODUCT(SEMANAL!$B34,N$252)/350</f>
        <v>0</v>
      </c>
      <c r="O263" s="70">
        <f>PRODUCT(SEMANAL!$D34,O$251)/350+PRODUCT(SEMANAL!$B34,O$252)/350</f>
        <v>0</v>
      </c>
      <c r="P263" s="70">
        <f>PRODUCT(SEMANAL!$D34,P$251)/350+PRODUCT(SEMANAL!$B34,P$252)/350</f>
        <v>0</v>
      </c>
      <c r="Q263" s="70">
        <f>PRODUCT(SEMANAL!$D34,Q$251)/350+PRODUCT(SEMANAL!$B34,Q$252)/350</f>
        <v>0</v>
      </c>
      <c r="R263" s="35">
        <f>SUM('OC SECOS y LAC AZUL 2'!B148:Q148)</f>
        <v>0</v>
      </c>
      <c r="S263" s="71">
        <v>736</v>
      </c>
      <c r="T263" s="71">
        <f t="shared" si="9"/>
        <v>0</v>
      </c>
      <c r="U263" s="21"/>
      <c r="V263" s="1"/>
      <c r="W263" s="1"/>
      <c r="X263" s="1"/>
      <c r="Y263" s="1"/>
      <c r="Z263" s="1"/>
    </row>
    <row r="264" spans="1:26" ht="14.25" customHeight="1">
      <c r="A264" s="22" t="s">
        <v>163</v>
      </c>
      <c r="B264" s="70">
        <f>PRODUCT(SEMANAL!$D35,B$251)/25+PRODUCT(SEMANAL!$B35,B$252)/25</f>
        <v>0</v>
      </c>
      <c r="C264" s="70">
        <f>PRODUCT(SEMANAL!$D35,C$251)/25+PRODUCT(SEMANAL!$B35,C$252)/25</f>
        <v>0</v>
      </c>
      <c r="D264" s="70">
        <f>PRODUCT(SEMANAL!$D35,D$251)/25+PRODUCT(SEMANAL!$B35,D$252)/25</f>
        <v>0</v>
      </c>
      <c r="E264" s="70">
        <f>PRODUCT(SEMANAL!$D35,E$251)/25+PRODUCT(SEMANAL!$B35,E$252)/25</f>
        <v>0</v>
      </c>
      <c r="F264" s="70">
        <f>PRODUCT(SEMANAL!$D35,F$251)/25+PRODUCT(SEMANAL!$B35,F$252)/25</f>
        <v>0</v>
      </c>
      <c r="G264" s="70">
        <f>PRODUCT(SEMANAL!$D35,G$251)/25+PRODUCT(SEMANAL!$B35,G$252)/25</f>
        <v>0</v>
      </c>
      <c r="H264" s="70">
        <f>PRODUCT(SEMANAL!$D35,H$251)/25+PRODUCT(SEMANAL!$B35,H$252)/25</f>
        <v>0</v>
      </c>
      <c r="I264" s="70">
        <f>PRODUCT(SEMANAL!$D35,I$251)/25+PRODUCT(SEMANAL!$B35,I$252)/25</f>
        <v>0</v>
      </c>
      <c r="J264" s="70">
        <f>PRODUCT(SEMANAL!$D35,J$251)/25+PRODUCT(SEMANAL!$B35,J$252)/25</f>
        <v>0</v>
      </c>
      <c r="K264" s="70">
        <f>PRODUCT(SEMANAL!$D35,K$251)/25+PRODUCT(SEMANAL!$B35,K$252)/25</f>
        <v>0</v>
      </c>
      <c r="L264" s="70">
        <f>PRODUCT(SEMANAL!$D35,L$251)/25+PRODUCT(SEMANAL!$B35,L$252)/25</f>
        <v>0</v>
      </c>
      <c r="M264" s="70">
        <f>PRODUCT(SEMANAL!$D35,M$251)/25+PRODUCT(SEMANAL!$B35,M$252)/25</f>
        <v>0</v>
      </c>
      <c r="N264" s="70">
        <f>PRODUCT(SEMANAL!$D35,N$251)/25+PRODUCT(SEMANAL!$B35,N$252)/25</f>
        <v>0</v>
      </c>
      <c r="O264" s="70">
        <f>PRODUCT(SEMANAL!$D35,O$251)/25+PRODUCT(SEMANAL!$B35,O$252)/25</f>
        <v>0</v>
      </c>
      <c r="P264" s="70">
        <f>PRODUCT(SEMANAL!$D35,P$251)/25+PRODUCT(SEMANAL!$B35,P$252)/25</f>
        <v>0</v>
      </c>
      <c r="Q264" s="70">
        <f>PRODUCT(SEMANAL!$D35,Q$251)/25+PRODUCT(SEMANAL!$B35,Q$252)/25</f>
        <v>0</v>
      </c>
      <c r="R264" s="35">
        <f>SUM('OC SECOS y LAC AZUL 2'!B149:Q149)</f>
        <v>0</v>
      </c>
      <c r="S264" s="71">
        <v>919</v>
      </c>
      <c r="T264" s="71">
        <f t="shared" si="9"/>
        <v>0</v>
      </c>
      <c r="U264" s="21"/>
      <c r="V264" s="1"/>
      <c r="W264" s="1"/>
      <c r="X264" s="1"/>
      <c r="Y264" s="1"/>
      <c r="Z264" s="1"/>
    </row>
    <row r="265" spans="1:26" ht="14.25" customHeight="1">
      <c r="A265" s="22" t="s">
        <v>164</v>
      </c>
      <c r="B265" s="70">
        <f>PRODUCT(SEMANAL!$D36,B$251)/25+PRODUCT(SEMANAL!$B36,B$252)/25</f>
        <v>0</v>
      </c>
      <c r="C265" s="70">
        <f>PRODUCT(SEMANAL!$D36,C$251)/25+PRODUCT(SEMANAL!$B36,C$252)/25</f>
        <v>0</v>
      </c>
      <c r="D265" s="70">
        <f>PRODUCT(SEMANAL!$D36,D$251)/25+PRODUCT(SEMANAL!$B36,D$252)/25</f>
        <v>0</v>
      </c>
      <c r="E265" s="70">
        <f>PRODUCT(SEMANAL!$D36,E$251)/25+PRODUCT(SEMANAL!$B36,E$252)/25</f>
        <v>0</v>
      </c>
      <c r="F265" s="70">
        <f>PRODUCT(SEMANAL!$D36,F$251)/25+PRODUCT(SEMANAL!$B36,F$252)/25</f>
        <v>0</v>
      </c>
      <c r="G265" s="70">
        <f>PRODUCT(SEMANAL!$D36,G$251)/25+PRODUCT(SEMANAL!$B36,G$252)/25</f>
        <v>0</v>
      </c>
      <c r="H265" s="70">
        <f>PRODUCT(SEMANAL!$D36,H$251)/25+PRODUCT(SEMANAL!$B36,H$252)/25</f>
        <v>0</v>
      </c>
      <c r="I265" s="70">
        <f>PRODUCT(SEMANAL!$D36,I$251)/25+PRODUCT(SEMANAL!$B36,I$252)/25</f>
        <v>0</v>
      </c>
      <c r="J265" s="70">
        <f>PRODUCT(SEMANAL!$D36,J$251)/25+PRODUCT(SEMANAL!$B36,J$252)/25</f>
        <v>0</v>
      </c>
      <c r="K265" s="70">
        <f>PRODUCT(SEMANAL!$D36,K$251)/25+PRODUCT(SEMANAL!$B36,K$252)/25</f>
        <v>0</v>
      </c>
      <c r="L265" s="70">
        <f>PRODUCT(SEMANAL!$D36,L$251)/25+PRODUCT(SEMANAL!$B36,L$252)/25</f>
        <v>0</v>
      </c>
      <c r="M265" s="70">
        <f>PRODUCT(SEMANAL!$D36,M$251)/25+PRODUCT(SEMANAL!$B36,M$252)/25</f>
        <v>0</v>
      </c>
      <c r="N265" s="70">
        <f>PRODUCT(SEMANAL!$D36,N$251)/25+PRODUCT(SEMANAL!$B36,N$252)/25</f>
        <v>0</v>
      </c>
      <c r="O265" s="70">
        <f>PRODUCT(SEMANAL!$D36,O$251)/25+PRODUCT(SEMANAL!$B36,O$252)/25</f>
        <v>0</v>
      </c>
      <c r="P265" s="70">
        <f>PRODUCT(SEMANAL!$D36,P$251)/25+PRODUCT(SEMANAL!$B36,P$252)/25</f>
        <v>0</v>
      </c>
      <c r="Q265" s="70">
        <f>PRODUCT(SEMANAL!$D36,Q$251)/25+PRODUCT(SEMANAL!$B36,Q$252)/25</f>
        <v>0</v>
      </c>
      <c r="R265" s="35">
        <f>SUM('OC SECOS y LAC AZUL 2'!B150:Q150)</f>
        <v>0</v>
      </c>
      <c r="S265" s="71">
        <v>919</v>
      </c>
      <c r="T265" s="71">
        <f t="shared" si="9"/>
        <v>0</v>
      </c>
      <c r="U265" s="21"/>
      <c r="V265" s="1"/>
      <c r="W265" s="1"/>
      <c r="X265" s="1"/>
      <c r="Y265" s="1"/>
      <c r="Z265" s="1"/>
    </row>
    <row r="266" spans="1:26" ht="14.25" customHeight="1">
      <c r="A266" s="22" t="s">
        <v>105</v>
      </c>
      <c r="B266" s="70">
        <f>PRODUCT(SEMANAL!$D37,B$251)/25+PRODUCT(SEMANAL!$B37,B$252)/25</f>
        <v>0</v>
      </c>
      <c r="C266" s="70">
        <f>PRODUCT(SEMANAL!$D37,C$251)/25+PRODUCT(SEMANAL!$B37,C$252)/25</f>
        <v>0</v>
      </c>
      <c r="D266" s="70">
        <f>PRODUCT(SEMANAL!$D37,D$251)/25+PRODUCT(SEMANAL!$B37,D$252)/25</f>
        <v>0</v>
      </c>
      <c r="E266" s="70">
        <f>PRODUCT(SEMANAL!$D37,E$251)/25+PRODUCT(SEMANAL!$B37,E$252)/25</f>
        <v>0</v>
      </c>
      <c r="F266" s="70">
        <f>PRODUCT(SEMANAL!$D37,F$251)/25+PRODUCT(SEMANAL!$B37,F$252)/25</f>
        <v>0</v>
      </c>
      <c r="G266" s="70">
        <f>PRODUCT(SEMANAL!$D37,G$251)/25+PRODUCT(SEMANAL!$B37,G$252)/25</f>
        <v>0</v>
      </c>
      <c r="H266" s="70">
        <f>PRODUCT(SEMANAL!$D37,H$251)/25+PRODUCT(SEMANAL!$B37,H$252)/25</f>
        <v>0</v>
      </c>
      <c r="I266" s="70">
        <f>PRODUCT(SEMANAL!$D37,I$251)/25+PRODUCT(SEMANAL!$B37,I$252)/25</f>
        <v>0</v>
      </c>
      <c r="J266" s="70">
        <f>PRODUCT(SEMANAL!$D37,J$251)/25+PRODUCT(SEMANAL!$B37,J$252)/25</f>
        <v>2.4</v>
      </c>
      <c r="K266" s="70">
        <f>PRODUCT(SEMANAL!$D37,K$251)/25+PRODUCT(SEMANAL!$B37,K$252)/25</f>
        <v>0</v>
      </c>
      <c r="L266" s="70">
        <f>PRODUCT(SEMANAL!$D37,L$251)/25+PRODUCT(SEMANAL!$B37,L$252)/25</f>
        <v>0</v>
      </c>
      <c r="M266" s="70">
        <f>PRODUCT(SEMANAL!$D37,M$251)/25+PRODUCT(SEMANAL!$B37,M$252)/25</f>
        <v>0</v>
      </c>
      <c r="N266" s="70">
        <f>PRODUCT(SEMANAL!$D37,N$251)/25+PRODUCT(SEMANAL!$B37,N$252)/25</f>
        <v>0</v>
      </c>
      <c r="O266" s="70">
        <f>PRODUCT(SEMANAL!$D37,O$251)/25+PRODUCT(SEMANAL!$B37,O$252)/25</f>
        <v>0</v>
      </c>
      <c r="P266" s="70">
        <f>PRODUCT(SEMANAL!$D37,P$251)/25+PRODUCT(SEMANAL!$B37,P$252)/25</f>
        <v>0</v>
      </c>
      <c r="Q266" s="70">
        <f>PRODUCT(SEMANAL!$D37,Q$251)/25+PRODUCT(SEMANAL!$B37,Q$252)/25</f>
        <v>0</v>
      </c>
      <c r="R266" s="35">
        <f>SUM('OC SECOS y LAC AZUL 2'!B151:Q151)</f>
        <v>0</v>
      </c>
      <c r="S266" s="71">
        <v>919</v>
      </c>
      <c r="T266" s="71">
        <f t="shared" si="9"/>
        <v>0</v>
      </c>
      <c r="U266" s="21"/>
      <c r="V266" s="1"/>
      <c r="W266" s="1"/>
      <c r="X266" s="1"/>
      <c r="Y266" s="1"/>
      <c r="Z266" s="1"/>
    </row>
    <row r="267" spans="1:26" ht="14.25" customHeight="1">
      <c r="A267" s="22" t="s">
        <v>165</v>
      </c>
      <c r="B267" s="70">
        <f>PRODUCT(SEMANAL!$D38,B$251)/500+PRODUCT(SEMANAL!$B38,B$252)/500</f>
        <v>0</v>
      </c>
      <c r="C267" s="70">
        <f>PRODUCT(SEMANAL!$D38,C$251)/500+PRODUCT(SEMANAL!$B38,C$252)/500</f>
        <v>0</v>
      </c>
      <c r="D267" s="70">
        <f>PRODUCT(SEMANAL!$D38,D$251)/500+PRODUCT(SEMANAL!$B38,D$252)/500</f>
        <v>0</v>
      </c>
      <c r="E267" s="70">
        <f>PRODUCT(SEMANAL!$D38,E$251)/500+PRODUCT(SEMANAL!$B38,E$252)/500</f>
        <v>0</v>
      </c>
      <c r="F267" s="70">
        <f>PRODUCT(SEMANAL!$D38,F$251)/500+PRODUCT(SEMANAL!$B38,F$252)/500</f>
        <v>0</v>
      </c>
      <c r="G267" s="70">
        <f>PRODUCT(SEMANAL!$D38,G$251)/500+PRODUCT(SEMANAL!$B38,G$252)/500</f>
        <v>0</v>
      </c>
      <c r="H267" s="70">
        <f>PRODUCT(SEMANAL!$D38,H$251)/500+PRODUCT(SEMANAL!$B38,H$252)/500</f>
        <v>0</v>
      </c>
      <c r="I267" s="70">
        <f>PRODUCT(SEMANAL!$D38,I$251)/500+PRODUCT(SEMANAL!$B38,I$252)/500</f>
        <v>0</v>
      </c>
      <c r="J267" s="70">
        <f>PRODUCT(SEMANAL!$D38,J$251)/500+PRODUCT(SEMANAL!$B38,J$252)/500</f>
        <v>0.12</v>
      </c>
      <c r="K267" s="70">
        <f>PRODUCT(SEMANAL!$D38,K$251)/500+PRODUCT(SEMANAL!$B38,K$252)/500</f>
        <v>0</v>
      </c>
      <c r="L267" s="70">
        <f>PRODUCT(SEMANAL!$D38,L$251)/500+PRODUCT(SEMANAL!$B38,L$252)/500</f>
        <v>0</v>
      </c>
      <c r="M267" s="70">
        <f>PRODUCT(SEMANAL!$D38,M$251)/500+PRODUCT(SEMANAL!$B38,M$252)/500</f>
        <v>0</v>
      </c>
      <c r="N267" s="70">
        <f>PRODUCT(SEMANAL!$D38,N$251)/500+PRODUCT(SEMANAL!$B38,N$252)/500</f>
        <v>0</v>
      </c>
      <c r="O267" s="70">
        <f>PRODUCT(SEMANAL!$D38,O$251)/500+PRODUCT(SEMANAL!$B38,O$252)/500</f>
        <v>0</v>
      </c>
      <c r="P267" s="70">
        <f>PRODUCT(SEMANAL!$D38,P$251)/500+PRODUCT(SEMANAL!$B38,P$252)/500</f>
        <v>0</v>
      </c>
      <c r="Q267" s="70">
        <f>PRODUCT(SEMANAL!$D38,Q$251)/500+PRODUCT(SEMANAL!$B38,Q$252)/500</f>
        <v>0</v>
      </c>
      <c r="R267" s="35">
        <f>SUM('OC SECOS y LAC AZUL 2'!B152:Q152)</f>
        <v>1</v>
      </c>
      <c r="S267" s="71">
        <v>650</v>
      </c>
      <c r="T267" s="71">
        <f t="shared" si="9"/>
        <v>650</v>
      </c>
      <c r="U267" s="21"/>
      <c r="V267" s="1"/>
      <c r="W267" s="1"/>
      <c r="X267" s="1"/>
      <c r="Y267" s="1"/>
      <c r="Z267" s="1"/>
    </row>
    <row r="268" spans="1:26" ht="14.25" customHeight="1">
      <c r="A268" s="22" t="s">
        <v>166</v>
      </c>
      <c r="B268" s="70">
        <f>PRODUCT(SEMANAL!$D39,B$251)/500+PRODUCT(SEMANAL!$B39,B$252)/500</f>
        <v>0</v>
      </c>
      <c r="C268" s="70">
        <f>PRODUCT(SEMANAL!$D39,C$251)/500+PRODUCT(SEMANAL!$B39,C$252)/500</f>
        <v>0</v>
      </c>
      <c r="D268" s="70">
        <f>PRODUCT(SEMANAL!$D39,D$251)/500+PRODUCT(SEMANAL!$B39,D$252)/500</f>
        <v>0</v>
      </c>
      <c r="E268" s="70">
        <f>PRODUCT(SEMANAL!$D39,E$251)/500+PRODUCT(SEMANAL!$B39,E$252)/500</f>
        <v>0</v>
      </c>
      <c r="F268" s="70">
        <f>PRODUCT(SEMANAL!$D39,F$251)/500+PRODUCT(SEMANAL!$B39,F$252)/500</f>
        <v>0</v>
      </c>
      <c r="G268" s="70">
        <f>PRODUCT(SEMANAL!$D39,G$251)/500+PRODUCT(SEMANAL!$B39,G$252)/500</f>
        <v>0</v>
      </c>
      <c r="H268" s="70">
        <f>PRODUCT(SEMANAL!$D39,H$251)/500+PRODUCT(SEMANAL!$B39,H$252)/500</f>
        <v>0</v>
      </c>
      <c r="I268" s="70">
        <f>PRODUCT(SEMANAL!$D39,I$251)/500+PRODUCT(SEMANAL!$B39,I$252)/500</f>
        <v>0</v>
      </c>
      <c r="J268" s="70">
        <f>PRODUCT(SEMANAL!$D39,J$251)/500+PRODUCT(SEMANAL!$B39,J$252)/500</f>
        <v>5.6</v>
      </c>
      <c r="K268" s="70">
        <f>PRODUCT(SEMANAL!$D39,K$251)/500+PRODUCT(SEMANAL!$B39,K$252)/500</f>
        <v>0</v>
      </c>
      <c r="L268" s="70">
        <f>PRODUCT(SEMANAL!$D39,L$251)/500+PRODUCT(SEMANAL!$B39,L$252)/500</f>
        <v>0</v>
      </c>
      <c r="M268" s="70">
        <f>PRODUCT(SEMANAL!$D39,M$251)/500+PRODUCT(SEMANAL!$B39,M$252)/500</f>
        <v>0</v>
      </c>
      <c r="N268" s="70">
        <f>PRODUCT(SEMANAL!$D39,N$251)/500+PRODUCT(SEMANAL!$B39,N$252)/500</f>
        <v>0</v>
      </c>
      <c r="O268" s="70">
        <f>PRODUCT(SEMANAL!$D39,O$251)/500+PRODUCT(SEMANAL!$B39,O$252)/500</f>
        <v>0</v>
      </c>
      <c r="P268" s="70">
        <f>PRODUCT(SEMANAL!$D39,P$251)/500+PRODUCT(SEMANAL!$B39,P$252)/500</f>
        <v>0</v>
      </c>
      <c r="Q268" s="70">
        <f>PRODUCT(SEMANAL!$D39,Q$251)/500+PRODUCT(SEMANAL!$B39,Q$252)/500</f>
        <v>0</v>
      </c>
      <c r="R268" s="35">
        <f>SUM('OC SECOS y LAC AZUL 2'!B153:Q153)</f>
        <v>0</v>
      </c>
      <c r="S268" s="71">
        <v>540</v>
      </c>
      <c r="T268" s="71">
        <f t="shared" si="9"/>
        <v>0</v>
      </c>
      <c r="U268" s="21"/>
      <c r="V268" s="1"/>
      <c r="W268" s="1"/>
      <c r="X268" s="1"/>
      <c r="Y268" s="1"/>
      <c r="Z268" s="1"/>
    </row>
    <row r="269" spans="1:26" ht="14.25" customHeight="1">
      <c r="A269" s="22" t="s">
        <v>108</v>
      </c>
      <c r="B269" s="70">
        <f>PRODUCT(SEMANAL!$D40,B$251)/500+PRODUCT(SEMANAL!$B40,B$252)/500</f>
        <v>0</v>
      </c>
      <c r="C269" s="70">
        <f>PRODUCT(SEMANAL!$D40,C$251)/500+PRODUCT(SEMANAL!$B40,C$252)/500</f>
        <v>0</v>
      </c>
      <c r="D269" s="70">
        <f>PRODUCT(SEMANAL!$D40,D$251)/500+PRODUCT(SEMANAL!$B40,D$252)/500</f>
        <v>0</v>
      </c>
      <c r="E269" s="70">
        <f>PRODUCT(SEMANAL!$D40,E$251)/500+PRODUCT(SEMANAL!$B40,E$252)/500</f>
        <v>0</v>
      </c>
      <c r="F269" s="70">
        <f>PRODUCT(SEMANAL!$D40,F$251)/500+PRODUCT(SEMANAL!$B40,F$252)/500</f>
        <v>0</v>
      </c>
      <c r="G269" s="70">
        <f>PRODUCT(SEMANAL!$D40,G$251)/500+PRODUCT(SEMANAL!$B40,G$252)/500</f>
        <v>0</v>
      </c>
      <c r="H269" s="70">
        <f>PRODUCT(SEMANAL!$D40,H$251)/500+PRODUCT(SEMANAL!$B40,H$252)/500</f>
        <v>0</v>
      </c>
      <c r="I269" s="70">
        <f>PRODUCT(SEMANAL!$D40,I$251)/500+PRODUCT(SEMANAL!$B40,I$252)/500</f>
        <v>0</v>
      </c>
      <c r="J269" s="70">
        <f>PRODUCT(SEMANAL!$D40,J$251)/500+PRODUCT(SEMANAL!$B40,J$252)/500</f>
        <v>3.6</v>
      </c>
      <c r="K269" s="70">
        <f>PRODUCT(SEMANAL!$D40,K$251)/500+PRODUCT(SEMANAL!$B40,K$252)/500</f>
        <v>0</v>
      </c>
      <c r="L269" s="70">
        <f>PRODUCT(SEMANAL!$D40,L$251)/500+PRODUCT(SEMANAL!$B40,L$252)/500</f>
        <v>0</v>
      </c>
      <c r="M269" s="70">
        <f>PRODUCT(SEMANAL!$D40,M$251)/500+PRODUCT(SEMANAL!$B40,M$252)/500</f>
        <v>0</v>
      </c>
      <c r="N269" s="70">
        <f>PRODUCT(SEMANAL!$D40,N$251)/500+PRODUCT(SEMANAL!$B40,N$252)/500</f>
        <v>0</v>
      </c>
      <c r="O269" s="70">
        <f>PRODUCT(SEMANAL!$D40,O$251)/500+PRODUCT(SEMANAL!$B40,O$252)/500</f>
        <v>0</v>
      </c>
      <c r="P269" s="70">
        <f>PRODUCT(SEMANAL!$D40,P$251)/500+PRODUCT(SEMANAL!$B40,P$252)/500</f>
        <v>0</v>
      </c>
      <c r="Q269" s="70">
        <f>PRODUCT(SEMANAL!$D40,Q$251)/500+PRODUCT(SEMANAL!$B40,Q$252)/500</f>
        <v>0</v>
      </c>
      <c r="R269" s="35">
        <f>SUM('OC SECOS y LAC AZUL 2'!B154:Q154)</f>
        <v>4</v>
      </c>
      <c r="S269" s="71">
        <v>806</v>
      </c>
      <c r="T269" s="71">
        <f t="shared" si="9"/>
        <v>3224</v>
      </c>
      <c r="U269" s="21"/>
      <c r="V269" s="1"/>
      <c r="W269" s="1"/>
      <c r="X269" s="1"/>
      <c r="Y269" s="1"/>
      <c r="Z269" s="1"/>
    </row>
    <row r="270" spans="1:26" ht="14.25" customHeight="1">
      <c r="A270" s="61" t="s">
        <v>109</v>
      </c>
      <c r="B270" s="70">
        <f>PRODUCT(SEMANAL!$D41,B$251)/1000+PRODUCT(SEMANAL!$B41,B$252)/1000</f>
        <v>0</v>
      </c>
      <c r="C270" s="70">
        <f>PRODUCT(SEMANAL!$D41,C$251)/1000+PRODUCT(SEMANAL!$B41,C$252)/1000</f>
        <v>0</v>
      </c>
      <c r="D270" s="70">
        <f>PRODUCT(SEMANAL!$D41,D$251)/1000+PRODUCT(SEMANAL!$B41,D$252)/1000</f>
        <v>0</v>
      </c>
      <c r="E270" s="70">
        <f>PRODUCT(SEMANAL!$D41,E$251)/1000+PRODUCT(SEMANAL!$B41,E$252)/1000</f>
        <v>0</v>
      </c>
      <c r="F270" s="70">
        <f>PRODUCT(SEMANAL!$D41,F$251)/1000+PRODUCT(SEMANAL!$B41,F$252)/1000</f>
        <v>0</v>
      </c>
      <c r="G270" s="70">
        <f>PRODUCT(SEMANAL!$D41,G$251)/1000+PRODUCT(SEMANAL!$B41,G$252)/1000</f>
        <v>0</v>
      </c>
      <c r="H270" s="70">
        <f>PRODUCT(SEMANAL!$D41,H$251)/1000+PRODUCT(SEMANAL!$B41,H$252)/1000</f>
        <v>0</v>
      </c>
      <c r="I270" s="70">
        <f>PRODUCT(SEMANAL!$D41,I$251)/1000+PRODUCT(SEMANAL!$B41,I$252)/1000</f>
        <v>0</v>
      </c>
      <c r="J270" s="70">
        <f>PRODUCT(SEMANAL!$D41,J$251)/1000+PRODUCT(SEMANAL!$B41,J$252)/1000</f>
        <v>1.4</v>
      </c>
      <c r="K270" s="70">
        <f>PRODUCT(SEMANAL!$D41,K$251)/1000+PRODUCT(SEMANAL!$B41,K$252)/1000</f>
        <v>0</v>
      </c>
      <c r="L270" s="70">
        <f>PRODUCT(SEMANAL!$D41,L$251)/1000+PRODUCT(SEMANAL!$B41,L$252)/1000</f>
        <v>0</v>
      </c>
      <c r="M270" s="70">
        <f>PRODUCT(SEMANAL!$D41,M$251)/1000+PRODUCT(SEMANAL!$B41,M$252)/1000</f>
        <v>0</v>
      </c>
      <c r="N270" s="70">
        <f>PRODUCT(SEMANAL!$D41,N$251)/1000+PRODUCT(SEMANAL!$B41,N$252)/1000</f>
        <v>0</v>
      </c>
      <c r="O270" s="70">
        <f>PRODUCT(SEMANAL!$D41,O$251)/1000+PRODUCT(SEMANAL!$B41,O$252)/1000</f>
        <v>0</v>
      </c>
      <c r="P270" s="70">
        <f>PRODUCT(SEMANAL!$D41,P$251)/1000+PRODUCT(SEMANAL!$B41,P$252)/1000</f>
        <v>0</v>
      </c>
      <c r="Q270" s="70">
        <f>PRODUCT(SEMANAL!$D41,Q$251)/1000+PRODUCT(SEMANAL!$B41,Q$252)/1000</f>
        <v>0</v>
      </c>
      <c r="R270" s="35">
        <f>SUM('OC SECOS y LAC AZUL 2'!B155:Q155)</f>
        <v>0</v>
      </c>
      <c r="S270" s="71">
        <v>2451</v>
      </c>
      <c r="T270" s="71">
        <f t="shared" si="9"/>
        <v>0</v>
      </c>
      <c r="U270" s="21"/>
      <c r="V270" s="1"/>
      <c r="W270" s="1"/>
      <c r="X270" s="1"/>
      <c r="Y270" s="1"/>
      <c r="Z270" s="1"/>
    </row>
    <row r="271" spans="1:26" ht="14.25" customHeight="1">
      <c r="A271" s="61" t="s">
        <v>110</v>
      </c>
      <c r="B271" s="70">
        <f>PRODUCT(SEMANAL!$D42,B$251)/500+PRODUCT(SEMANAL!$B42,B$252)/500</f>
        <v>0</v>
      </c>
      <c r="C271" s="70">
        <f>PRODUCT(SEMANAL!$D42,C$251)/500+PRODUCT(SEMANAL!$B42,C$252)/500</f>
        <v>0</v>
      </c>
      <c r="D271" s="70">
        <f>PRODUCT(SEMANAL!$D42,D$251)/500+PRODUCT(SEMANAL!$B42,D$252)/500</f>
        <v>0</v>
      </c>
      <c r="E271" s="70">
        <f>PRODUCT(SEMANAL!$D42,E$251)/500+PRODUCT(SEMANAL!$B42,E$252)/500</f>
        <v>0</v>
      </c>
      <c r="F271" s="70">
        <f>PRODUCT(SEMANAL!$D42,F$251)/500+PRODUCT(SEMANAL!$B42,F$252)/500</f>
        <v>0</v>
      </c>
      <c r="G271" s="70">
        <f>PRODUCT(SEMANAL!$D42,G$251)/500+PRODUCT(SEMANAL!$B42,G$252)/500</f>
        <v>0</v>
      </c>
      <c r="H271" s="70">
        <f>PRODUCT(SEMANAL!$D42,H$251)/500+PRODUCT(SEMANAL!$B42,H$252)/500</f>
        <v>0</v>
      </c>
      <c r="I271" s="70">
        <f>PRODUCT(SEMANAL!$D42,I$251)/500+PRODUCT(SEMANAL!$B42,I$252)/500</f>
        <v>0</v>
      </c>
      <c r="J271" s="70">
        <f>PRODUCT(SEMANAL!$D42,J$251)/500+PRODUCT(SEMANAL!$B42,J$252)/500</f>
        <v>0.24</v>
      </c>
      <c r="K271" s="70">
        <f>PRODUCT(SEMANAL!$D42,K$251)/500+PRODUCT(SEMANAL!$B42,K$252)/500</f>
        <v>0</v>
      </c>
      <c r="L271" s="70">
        <f>PRODUCT(SEMANAL!$D42,L$251)/500+PRODUCT(SEMANAL!$B42,L$252)/500</f>
        <v>0</v>
      </c>
      <c r="M271" s="70">
        <f>PRODUCT(SEMANAL!$D42,M$251)/500+PRODUCT(SEMANAL!$B42,M$252)/500</f>
        <v>0</v>
      </c>
      <c r="N271" s="70">
        <f>PRODUCT(SEMANAL!$D42,N$251)/500+PRODUCT(SEMANAL!$B42,N$252)/500</f>
        <v>0</v>
      </c>
      <c r="O271" s="70">
        <f>PRODUCT(SEMANAL!$D42,O$251)/500+PRODUCT(SEMANAL!$B42,O$252)/500</f>
        <v>0</v>
      </c>
      <c r="P271" s="70">
        <f>PRODUCT(SEMANAL!$D42,P$251)/500+PRODUCT(SEMANAL!$B42,P$252)/500</f>
        <v>0</v>
      </c>
      <c r="Q271" s="70">
        <f>PRODUCT(SEMANAL!$D42,Q$251)/500+PRODUCT(SEMANAL!$B42,Q$252)/500</f>
        <v>0</v>
      </c>
      <c r="R271" s="35">
        <f>SUM('OC SECOS y LAC AZUL 2'!B156:Q156)</f>
        <v>0</v>
      </c>
      <c r="S271" s="71">
        <v>1869</v>
      </c>
      <c r="T271" s="71">
        <f t="shared" si="9"/>
        <v>0</v>
      </c>
      <c r="U271" s="21"/>
      <c r="V271" s="1"/>
      <c r="W271" s="1"/>
      <c r="X271" s="1"/>
      <c r="Y271" s="1"/>
      <c r="Z271" s="1"/>
    </row>
    <row r="272" spans="1:26" ht="14.25" customHeight="1">
      <c r="A272" s="61" t="s">
        <v>111</v>
      </c>
      <c r="B272" s="70">
        <f>PRODUCT(SEMANAL!$D43,B$251)/100+PRODUCT(SEMANAL!$B43,B$252)/100</f>
        <v>0</v>
      </c>
      <c r="C272" s="70">
        <f>PRODUCT(SEMANAL!$D43,C$251)/100+PRODUCT(SEMANAL!$B43,C$252)/100</f>
        <v>0</v>
      </c>
      <c r="D272" s="70">
        <f>PRODUCT(SEMANAL!$D43,D$251)/100+PRODUCT(SEMANAL!$B43,D$252)/100</f>
        <v>0</v>
      </c>
      <c r="E272" s="70">
        <f>PRODUCT(SEMANAL!$D43,E$251)/100+PRODUCT(SEMANAL!$B43,E$252)/100</f>
        <v>0</v>
      </c>
      <c r="F272" s="70">
        <f>PRODUCT(SEMANAL!$D43,F$251)/100+PRODUCT(SEMANAL!$B43,F$252)/100</f>
        <v>0</v>
      </c>
      <c r="G272" s="70">
        <f>PRODUCT(SEMANAL!$D43,G$251)/100+PRODUCT(SEMANAL!$B43,G$252)/100</f>
        <v>0</v>
      </c>
      <c r="H272" s="70">
        <f>PRODUCT(SEMANAL!$D43,H$251)/100+PRODUCT(SEMANAL!$B43,H$252)/100</f>
        <v>0</v>
      </c>
      <c r="I272" s="70">
        <f>PRODUCT(SEMANAL!$D43,I$251)/100+PRODUCT(SEMANAL!$B43,I$252)/100</f>
        <v>0</v>
      </c>
      <c r="J272" s="70">
        <f>PRODUCT(SEMANAL!$D43,J$251)/100+PRODUCT(SEMANAL!$B43,J$252)/100</f>
        <v>0</v>
      </c>
      <c r="K272" s="70">
        <f>PRODUCT(SEMANAL!$D43,K$251)/100+PRODUCT(SEMANAL!$B43,K$252)/100</f>
        <v>0</v>
      </c>
      <c r="L272" s="70">
        <f>PRODUCT(SEMANAL!$D43,L$251)/100+PRODUCT(SEMANAL!$B43,L$252)/100</f>
        <v>0</v>
      </c>
      <c r="M272" s="70">
        <f>PRODUCT(SEMANAL!$D43,M$251)/100+PRODUCT(SEMANAL!$B43,M$252)/100</f>
        <v>0</v>
      </c>
      <c r="N272" s="70">
        <f>PRODUCT(SEMANAL!$D43,N$251)/100+PRODUCT(SEMANAL!$B43,N$252)/100</f>
        <v>0</v>
      </c>
      <c r="O272" s="70">
        <f>PRODUCT(SEMANAL!$D43,O$251)/100+PRODUCT(SEMANAL!$B43,O$252)/100</f>
        <v>0</v>
      </c>
      <c r="P272" s="70">
        <f>PRODUCT(SEMANAL!$D43,P$251)/100+PRODUCT(SEMANAL!$B43,P$252)/100</f>
        <v>0</v>
      </c>
      <c r="Q272" s="70">
        <f>PRODUCT(SEMANAL!$D43,Q$251)/100+PRODUCT(SEMANAL!$B43,Q$252)/100</f>
        <v>0</v>
      </c>
      <c r="R272" s="35">
        <f>SUM('OC SECOS y LAC AZUL 2'!B157:Q157)</f>
        <v>0</v>
      </c>
      <c r="S272" s="71">
        <v>1625</v>
      </c>
      <c r="T272" s="71">
        <f t="shared" si="9"/>
        <v>0</v>
      </c>
      <c r="U272" s="21"/>
      <c r="V272" s="1"/>
      <c r="W272" s="1"/>
      <c r="X272" s="1"/>
      <c r="Y272" s="1"/>
      <c r="Z272" s="1"/>
    </row>
    <row r="273" spans="1:26" ht="14.25" customHeight="1">
      <c r="A273" s="61" t="s">
        <v>112</v>
      </c>
      <c r="B273" s="70">
        <f>PRODUCT(SEMANAL!$D44,B$251)/1000+PRODUCT(SEMANAL!$B44,B$252)/1000</f>
        <v>0</v>
      </c>
      <c r="C273" s="70">
        <f>PRODUCT(SEMANAL!$D44,C$251)/1000+PRODUCT(SEMANAL!$B44,C$252)/1000</f>
        <v>0</v>
      </c>
      <c r="D273" s="70">
        <f>PRODUCT(SEMANAL!$D44,D$251)/1000+PRODUCT(SEMANAL!$B44,D$252)/1000</f>
        <v>0</v>
      </c>
      <c r="E273" s="70">
        <f>PRODUCT(SEMANAL!$D44,E$251)/1000+PRODUCT(SEMANAL!$B44,E$252)/1000</f>
        <v>0</v>
      </c>
      <c r="F273" s="70">
        <f>PRODUCT(SEMANAL!$D44,F$251)/1000+PRODUCT(SEMANAL!$B44,F$252)/1000</f>
        <v>0</v>
      </c>
      <c r="G273" s="70">
        <f>PRODUCT(SEMANAL!$D44,G$251)/1000+PRODUCT(SEMANAL!$B44,G$252)/1000</f>
        <v>0</v>
      </c>
      <c r="H273" s="70">
        <f>PRODUCT(SEMANAL!$D44,H$251)/1000+PRODUCT(SEMANAL!$B44,H$252)/1000</f>
        <v>0</v>
      </c>
      <c r="I273" s="70">
        <f>PRODUCT(SEMANAL!$D44,I$251)/1000+PRODUCT(SEMANAL!$B44,I$252)/1000</f>
        <v>0</v>
      </c>
      <c r="J273" s="70">
        <f>PRODUCT(SEMANAL!$D44,J$251)/1000+PRODUCT(SEMANAL!$B44,J$252)/1000</f>
        <v>2</v>
      </c>
      <c r="K273" s="70">
        <f>PRODUCT(SEMANAL!$D44,K$251)/1000+PRODUCT(SEMANAL!$B44,K$252)/1000</f>
        <v>0</v>
      </c>
      <c r="L273" s="70">
        <f>PRODUCT(SEMANAL!$D44,L$251)/1000+PRODUCT(SEMANAL!$B44,L$252)/1000</f>
        <v>0</v>
      </c>
      <c r="M273" s="70">
        <f>PRODUCT(SEMANAL!$D44,M$251)/1000+PRODUCT(SEMANAL!$B44,M$252)/1000</f>
        <v>0</v>
      </c>
      <c r="N273" s="70">
        <f>PRODUCT(SEMANAL!$D44,N$251)/1000+PRODUCT(SEMANAL!$B44,N$252)/1000</f>
        <v>0</v>
      </c>
      <c r="O273" s="70">
        <f>PRODUCT(SEMANAL!$D44,O$251)/1000+PRODUCT(SEMANAL!$B44,O$252)/1000</f>
        <v>0</v>
      </c>
      <c r="P273" s="70">
        <f>PRODUCT(SEMANAL!$D44,P$251)/1000+PRODUCT(SEMANAL!$B44,P$252)/1000</f>
        <v>0</v>
      </c>
      <c r="Q273" s="70">
        <f>PRODUCT(SEMANAL!$D44,Q$251)/1000+PRODUCT(SEMANAL!$B44,Q$252)/1000</f>
        <v>0</v>
      </c>
      <c r="R273" s="35">
        <f>SUM('OC SECOS y LAC AZUL 2'!B158:Q158)</f>
        <v>0</v>
      </c>
      <c r="S273" s="71">
        <v>949</v>
      </c>
      <c r="T273" s="71">
        <f t="shared" si="9"/>
        <v>0</v>
      </c>
      <c r="U273" s="21"/>
      <c r="V273" s="1"/>
      <c r="W273" s="1"/>
      <c r="X273" s="1"/>
      <c r="Y273" s="1"/>
      <c r="Z273" s="1"/>
    </row>
    <row r="274" spans="1:26" ht="14.25" customHeight="1">
      <c r="A274" s="61" t="s">
        <v>113</v>
      </c>
      <c r="B274" s="70">
        <f>PRODUCT(SEMANAL!$D45,B$251)/1000+PRODUCT(SEMANAL!$B45,B$252)/1000</f>
        <v>0</v>
      </c>
      <c r="C274" s="70">
        <f>PRODUCT(SEMANAL!$D45,C$251)/1000+PRODUCT(SEMANAL!$B45,C$252)/1000</f>
        <v>0</v>
      </c>
      <c r="D274" s="70">
        <f>PRODUCT(SEMANAL!$D45,D$251)/1000+PRODUCT(SEMANAL!$B45,D$252)/1000</f>
        <v>0</v>
      </c>
      <c r="E274" s="70">
        <f>PRODUCT(SEMANAL!$D45,E$251)/1000+PRODUCT(SEMANAL!$B45,E$252)/1000</f>
        <v>0</v>
      </c>
      <c r="F274" s="70">
        <f>PRODUCT(SEMANAL!$D45,F$251)/1000+PRODUCT(SEMANAL!$B45,F$252)/1000</f>
        <v>0</v>
      </c>
      <c r="G274" s="70">
        <f>PRODUCT(SEMANAL!$D45,G$251)/1000+PRODUCT(SEMANAL!$B45,G$252)/1000</f>
        <v>0</v>
      </c>
      <c r="H274" s="70">
        <f>PRODUCT(SEMANAL!$D45,H$251)/1000+PRODUCT(SEMANAL!$B45,H$252)/1000</f>
        <v>0</v>
      </c>
      <c r="I274" s="70">
        <f>PRODUCT(SEMANAL!$D45,I$251)/1000+PRODUCT(SEMANAL!$B45,I$252)/1000</f>
        <v>0</v>
      </c>
      <c r="J274" s="70">
        <f>PRODUCT(SEMANAL!$D45,J$251)/1000+PRODUCT(SEMANAL!$B45,J$252)/1000</f>
        <v>3</v>
      </c>
      <c r="K274" s="70">
        <f>PRODUCT(SEMANAL!$D45,K$251)/1000+PRODUCT(SEMANAL!$B45,K$252)/1000</f>
        <v>0</v>
      </c>
      <c r="L274" s="70">
        <f>PRODUCT(SEMANAL!$D45,L$251)/1000+PRODUCT(SEMANAL!$B45,L$252)/1000</f>
        <v>0</v>
      </c>
      <c r="M274" s="70">
        <f>PRODUCT(SEMANAL!$D45,M$251)/1000+PRODUCT(SEMANAL!$B45,M$252)/1000</f>
        <v>0</v>
      </c>
      <c r="N274" s="70">
        <f>PRODUCT(SEMANAL!$D45,N$251)/1000+PRODUCT(SEMANAL!$B45,N$252)/1000</f>
        <v>0</v>
      </c>
      <c r="O274" s="70">
        <f>PRODUCT(SEMANAL!$D45,O$251)/1000+PRODUCT(SEMANAL!$B45,O$252)/1000</f>
        <v>0</v>
      </c>
      <c r="P274" s="70">
        <f>PRODUCT(SEMANAL!$D45,P$251)/1000+PRODUCT(SEMANAL!$B45,P$252)/1000</f>
        <v>0</v>
      </c>
      <c r="Q274" s="70">
        <f>PRODUCT(SEMANAL!$D45,Q$251)/1000+PRODUCT(SEMANAL!$B45,Q$252)/1000</f>
        <v>0</v>
      </c>
      <c r="R274" s="35">
        <f>SUM('OC SECOS y LAC AZUL 2'!B159:Q159)</f>
        <v>3</v>
      </c>
      <c r="S274" s="71">
        <v>694</v>
      </c>
      <c r="T274" s="71">
        <f t="shared" si="9"/>
        <v>2082</v>
      </c>
      <c r="U274" s="21"/>
      <c r="V274" s="1"/>
      <c r="W274" s="1"/>
      <c r="X274" s="1"/>
      <c r="Y274" s="1"/>
      <c r="Z274" s="1"/>
    </row>
    <row r="275" spans="1:26" ht="14.25" customHeight="1">
      <c r="A275" s="61" t="s">
        <v>114</v>
      </c>
      <c r="B275" s="70">
        <f>PRODUCT(SEMANAL!$D46,B$251)/20+PRODUCT(SEMANAL!$B46,B$252)/20</f>
        <v>0</v>
      </c>
      <c r="C275" s="70">
        <f>PRODUCT(SEMANAL!$D46,C$251)/20+PRODUCT(SEMANAL!$B46,C$252)/20</f>
        <v>0</v>
      </c>
      <c r="D275" s="70">
        <f>PRODUCT(SEMANAL!$D46,D$251)/20+PRODUCT(SEMANAL!$B46,D$252)/20</f>
        <v>0</v>
      </c>
      <c r="E275" s="70">
        <f>PRODUCT(SEMANAL!$D46,E$251)/20+PRODUCT(SEMANAL!$B46,E$252)/20</f>
        <v>0</v>
      </c>
      <c r="F275" s="70">
        <f>PRODUCT(SEMANAL!$D46,F$251)/20+PRODUCT(SEMANAL!$B46,F$252)/20</f>
        <v>0</v>
      </c>
      <c r="G275" s="70">
        <f>PRODUCT(SEMANAL!$D46,G$251)/20+PRODUCT(SEMANAL!$B46,G$252)/20</f>
        <v>0</v>
      </c>
      <c r="H275" s="70">
        <f>PRODUCT(SEMANAL!$D46,H$251)/20+PRODUCT(SEMANAL!$B46,H$252)/20</f>
        <v>0</v>
      </c>
      <c r="I275" s="70">
        <f>PRODUCT(SEMANAL!$D46,I$251)/20+PRODUCT(SEMANAL!$B46,I$252)/20</f>
        <v>0</v>
      </c>
      <c r="J275" s="70">
        <f>PRODUCT(SEMANAL!$D46,J$251)/20+PRODUCT(SEMANAL!$B46,J$252)/20</f>
        <v>0.7</v>
      </c>
      <c r="K275" s="70">
        <f>PRODUCT(SEMANAL!$D46,K$251)/20+PRODUCT(SEMANAL!$B46,K$252)/20</f>
        <v>0</v>
      </c>
      <c r="L275" s="70">
        <f>PRODUCT(SEMANAL!$D46,L$251)/20+PRODUCT(SEMANAL!$B46,L$252)/20</f>
        <v>0</v>
      </c>
      <c r="M275" s="70">
        <f>PRODUCT(SEMANAL!$D46,M$251)/20+PRODUCT(SEMANAL!$B46,M$252)/20</f>
        <v>0</v>
      </c>
      <c r="N275" s="70">
        <f>PRODUCT(SEMANAL!$D46,N$251)/20+PRODUCT(SEMANAL!$B46,N$252)/20</f>
        <v>0</v>
      </c>
      <c r="O275" s="70">
        <f>PRODUCT(SEMANAL!$D46,O$251)/20+PRODUCT(SEMANAL!$B46,O$252)/20</f>
        <v>0</v>
      </c>
      <c r="P275" s="70">
        <f>PRODUCT(SEMANAL!$D46,P$251)/20+PRODUCT(SEMANAL!$B46,P$252)/20</f>
        <v>0</v>
      </c>
      <c r="Q275" s="70">
        <f>PRODUCT(SEMANAL!$D46,Q$251)/20+PRODUCT(SEMANAL!$B46,Q$252)/20</f>
        <v>0</v>
      </c>
      <c r="R275" s="35">
        <f>SUM('OC SECOS y LAC AZUL 2'!B160:Q160)</f>
        <v>1</v>
      </c>
      <c r="S275" s="71">
        <v>709</v>
      </c>
      <c r="T275" s="71">
        <f t="shared" si="9"/>
        <v>709</v>
      </c>
      <c r="U275" s="2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20"/>
      <c r="S276" s="20"/>
      <c r="T276" s="20"/>
      <c r="U276" s="2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20"/>
      <c r="S277" s="20"/>
      <c r="T277" s="20"/>
      <c r="U277" s="2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20"/>
      <c r="S278" s="20" t="s">
        <v>33</v>
      </c>
      <c r="T278" s="20">
        <f>T253+T254+T255+T256+T257+T258+T259+T260+T261+T262+T263+T264+T265+T266+T267+T268+T269+T270+T271+T272+T273+T274+T275</f>
        <v>648087</v>
      </c>
      <c r="U278" s="2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20"/>
      <c r="S279" s="20" t="s">
        <v>167</v>
      </c>
      <c r="T279" s="20">
        <f>Q160+Q189+Q219+Q249+T278</f>
        <v>5549744</v>
      </c>
      <c r="U279" s="21"/>
      <c r="V279" s="1"/>
      <c r="W279" s="1"/>
      <c r="X279" s="1"/>
      <c r="Y279" s="1"/>
      <c r="Z279" s="1"/>
    </row>
    <row r="280" spans="1:26" ht="16.5" customHeight="1">
      <c r="A280" s="54" t="s">
        <v>168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20"/>
      <c r="S280" s="20"/>
      <c r="T280" s="20"/>
      <c r="U280" s="21"/>
      <c r="V280" s="1"/>
      <c r="W280" s="1"/>
      <c r="X280" s="1"/>
      <c r="Y280" s="1"/>
      <c r="Z280" s="1"/>
    </row>
    <row r="281" spans="1:26" ht="21" customHeight="1">
      <c r="A281" s="77" t="s">
        <v>169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20"/>
      <c r="S281" s="20"/>
      <c r="T281" s="20"/>
      <c r="U281" s="2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20"/>
      <c r="S282" s="20"/>
      <c r="T282" s="20"/>
      <c r="U282" s="21"/>
      <c r="V282" s="1"/>
      <c r="W282" s="1"/>
      <c r="X282" s="1"/>
      <c r="Y282" s="1"/>
      <c r="Z282" s="1"/>
    </row>
    <row r="283" spans="1:26" ht="14.25" customHeight="1">
      <c r="A283" s="1"/>
      <c r="B283" s="36" t="s">
        <v>5</v>
      </c>
      <c r="C283" s="56" t="s">
        <v>6</v>
      </c>
      <c r="D283" s="36" t="s">
        <v>7</v>
      </c>
      <c r="E283" s="36" t="s">
        <v>8</v>
      </c>
      <c r="F283" s="36" t="s">
        <v>9</v>
      </c>
      <c r="G283" s="36" t="s">
        <v>10</v>
      </c>
      <c r="H283" s="36" t="s">
        <v>11</v>
      </c>
      <c r="I283" s="36" t="s">
        <v>12</v>
      </c>
      <c r="J283" s="36" t="s">
        <v>13</v>
      </c>
      <c r="K283" s="36" t="s">
        <v>14</v>
      </c>
      <c r="L283" s="57" t="s">
        <v>15</v>
      </c>
      <c r="M283" s="58" t="s">
        <v>16</v>
      </c>
      <c r="N283" s="58" t="s">
        <v>17</v>
      </c>
      <c r="O283" s="1"/>
      <c r="P283" s="1"/>
      <c r="Q283" s="1"/>
      <c r="R283" s="20"/>
      <c r="S283" s="20"/>
      <c r="T283" s="20"/>
      <c r="U283" s="21"/>
      <c r="V283" s="1"/>
      <c r="W283" s="1"/>
      <c r="X283" s="1"/>
      <c r="Y283" s="1"/>
      <c r="Z283" s="1"/>
    </row>
    <row r="284" spans="1:26" ht="14.25" customHeight="1">
      <c r="A284" s="1"/>
      <c r="B284" s="19">
        <v>94</v>
      </c>
      <c r="C284" s="19">
        <v>101</v>
      </c>
      <c r="D284" s="19">
        <v>6</v>
      </c>
      <c r="E284" s="19">
        <v>164</v>
      </c>
      <c r="F284" s="19">
        <v>90</v>
      </c>
      <c r="G284" s="19">
        <v>28</v>
      </c>
      <c r="H284" s="19">
        <v>27</v>
      </c>
      <c r="I284" s="19">
        <v>71</v>
      </c>
      <c r="J284" s="19">
        <v>148</v>
      </c>
      <c r="K284" s="19">
        <v>86</v>
      </c>
      <c r="L284" s="19">
        <v>92</v>
      </c>
      <c r="M284" s="19">
        <v>13</v>
      </c>
      <c r="N284" s="19">
        <v>22</v>
      </c>
      <c r="O284" s="1"/>
      <c r="P284" s="1"/>
      <c r="Q284" s="1"/>
      <c r="R284" s="20"/>
      <c r="S284" s="20"/>
      <c r="T284" s="20"/>
      <c r="U284" s="21"/>
      <c r="V284" s="1"/>
      <c r="W284" s="1"/>
      <c r="X284" s="1"/>
      <c r="Y284" s="1"/>
      <c r="Z284" s="1"/>
    </row>
    <row r="285" spans="1:26" ht="14.25" customHeight="1">
      <c r="A285" s="1"/>
      <c r="B285" s="19">
        <v>47</v>
      </c>
      <c r="C285" s="19">
        <v>0</v>
      </c>
      <c r="D285" s="19">
        <v>3</v>
      </c>
      <c r="E285" s="19">
        <v>82</v>
      </c>
      <c r="F285" s="19">
        <v>0</v>
      </c>
      <c r="G285" s="19">
        <v>14</v>
      </c>
      <c r="H285" s="19">
        <v>0</v>
      </c>
      <c r="I285" s="19">
        <v>0</v>
      </c>
      <c r="J285" s="19">
        <v>87</v>
      </c>
      <c r="K285" s="19">
        <v>43</v>
      </c>
      <c r="L285" s="19">
        <v>56</v>
      </c>
      <c r="M285" s="19">
        <v>0</v>
      </c>
      <c r="N285" s="19">
        <v>10</v>
      </c>
      <c r="O285" s="1"/>
      <c r="P285" s="1" t="s">
        <v>18</v>
      </c>
      <c r="Q285" s="1" t="s">
        <v>19</v>
      </c>
      <c r="R285" s="20"/>
      <c r="S285" s="20"/>
      <c r="T285" s="20"/>
      <c r="U285" s="21"/>
      <c r="V285" s="1"/>
      <c r="W285" s="1"/>
      <c r="X285" s="1"/>
      <c r="Y285" s="1"/>
      <c r="Z285" s="1"/>
    </row>
    <row r="286" spans="1:26" ht="14.25" customHeight="1">
      <c r="A286" s="78" t="s">
        <v>170</v>
      </c>
      <c r="B286" s="70">
        <f>PRODUCT(SEMANAL!$B$52,B$285)/1000</f>
        <v>4.7</v>
      </c>
      <c r="C286" s="70">
        <f>PRODUCT(SEMANAL!$B$52,C$285)/1000</f>
        <v>0</v>
      </c>
      <c r="D286" s="70">
        <f>PRODUCT(SEMANAL!$B$52,D$285)/1000</f>
        <v>0.3</v>
      </c>
      <c r="E286" s="70">
        <f>PRODUCT(SEMANAL!$B$52,E$285)/1000</f>
        <v>8.1999999999999993</v>
      </c>
      <c r="F286" s="70">
        <f>PRODUCT(SEMANAL!$B$52,F$285)/1000</f>
        <v>0</v>
      </c>
      <c r="G286" s="70">
        <f>PRODUCT(SEMANAL!$B$52,G$285)/1000</f>
        <v>1.4</v>
      </c>
      <c r="H286" s="70">
        <f>PRODUCT(SEMANAL!$B$52,H$285)/1000</f>
        <v>0</v>
      </c>
      <c r="I286" s="70">
        <f>PRODUCT(SEMANAL!$B$52,I$285)/1000</f>
        <v>0</v>
      </c>
      <c r="J286" s="70">
        <f>PRODUCT(SEMANAL!$B$52,J$285)/1000</f>
        <v>8.6999999999999993</v>
      </c>
      <c r="K286" s="70">
        <f>PRODUCT(SEMANAL!$B$52,K$285)/1000</f>
        <v>4.3</v>
      </c>
      <c r="L286" s="70">
        <f>PRODUCT(SEMANAL!$B$52,L$285)/1000</f>
        <v>5.6</v>
      </c>
      <c r="M286" s="70">
        <f>PRODUCT(SEMANAL!$B$52,M$285)/1000</f>
        <v>0</v>
      </c>
      <c r="N286" s="70">
        <f>PRODUCT(SEMANAL!$B$52,N$285)/1000</f>
        <v>1</v>
      </c>
      <c r="O286" s="21">
        <f>SUM('OC CAR y PAN AZUL 2'!B17:N17)</f>
        <v>38</v>
      </c>
      <c r="P286" s="1">
        <v>8400</v>
      </c>
      <c r="Q286" s="1">
        <f t="shared" ref="Q286:Q288" si="10">PRODUCT(O286:P286)</f>
        <v>319200</v>
      </c>
      <c r="R286" s="20"/>
      <c r="S286" s="20"/>
      <c r="T286" s="20"/>
      <c r="U286" s="21"/>
      <c r="V286" s="1"/>
      <c r="W286" s="1"/>
      <c r="X286" s="1"/>
      <c r="Y286" s="1"/>
      <c r="Z286" s="1"/>
    </row>
    <row r="287" spans="1:26" ht="14.25" customHeight="1">
      <c r="A287" s="18" t="s">
        <v>171</v>
      </c>
      <c r="B287" s="79">
        <f>PRODUCT(SEMANAL!$B$53,B$285)/1000*1.68</f>
        <v>6.3167999999999997</v>
      </c>
      <c r="C287" s="79">
        <f>PRODUCT(SEMANAL!$B$53,C$285)/1000*1.68</f>
        <v>0</v>
      </c>
      <c r="D287" s="79">
        <f>PRODUCT(SEMANAL!$B$53,D$285)/1000*1.68</f>
        <v>0.40319999999999995</v>
      </c>
      <c r="E287" s="79">
        <f>PRODUCT(SEMANAL!$B$53,E$285)/1000*1.68</f>
        <v>11.020799999999999</v>
      </c>
      <c r="F287" s="79">
        <f>PRODUCT(SEMANAL!$B$53,F$285)/1000*1.68</f>
        <v>0</v>
      </c>
      <c r="G287" s="79">
        <f>PRODUCT(SEMANAL!$B$53,G$285)/1000*1.68</f>
        <v>1.8816000000000002</v>
      </c>
      <c r="H287" s="79">
        <f>PRODUCT(SEMANAL!$B$53,H$285)/1000*1.68</f>
        <v>0</v>
      </c>
      <c r="I287" s="79">
        <f>PRODUCT(SEMANAL!$B$53,I$285)/1000*1.68</f>
        <v>0</v>
      </c>
      <c r="J287" s="79">
        <f>PRODUCT(SEMANAL!$B$53,J$285)/1000*1.68</f>
        <v>11.6928</v>
      </c>
      <c r="K287" s="79">
        <f>PRODUCT(SEMANAL!$B$53,K$285)/1000*1.68</f>
        <v>5.7791999999999994</v>
      </c>
      <c r="L287" s="79">
        <f>PRODUCT(SEMANAL!$B$53,L$285)/1000*1.68</f>
        <v>7.5264000000000006</v>
      </c>
      <c r="M287" s="79">
        <f>PRODUCT(SEMANAL!$B$53,M$285)/1000*1.68</f>
        <v>0</v>
      </c>
      <c r="N287" s="79">
        <f>PRODUCT(SEMANAL!$B$53,N$285)/1000*1.68</f>
        <v>1.3440000000000001</v>
      </c>
      <c r="O287" s="21">
        <f>SUM('OC CAR y PAN AZUL 2'!B18:N18)</f>
        <v>51</v>
      </c>
      <c r="P287" s="1">
        <v>5500</v>
      </c>
      <c r="Q287" s="1">
        <f t="shared" si="10"/>
        <v>280500</v>
      </c>
      <c r="R287" s="20"/>
      <c r="S287" s="20"/>
      <c r="T287" s="20"/>
      <c r="U287" s="21"/>
      <c r="V287" s="1"/>
      <c r="W287" s="1"/>
      <c r="X287" s="1"/>
      <c r="Y287" s="1"/>
      <c r="Z287" s="1"/>
    </row>
    <row r="288" spans="1:26" ht="14.25" customHeight="1">
      <c r="A288" s="78" t="s">
        <v>172</v>
      </c>
      <c r="B288" s="70">
        <f>PRODUCT(SEMANAL!$B$54,B$285)/1000</f>
        <v>4.7</v>
      </c>
      <c r="C288" s="70">
        <f>PRODUCT(SEMANAL!$B$54,C$285)/1000</f>
        <v>0</v>
      </c>
      <c r="D288" s="70">
        <f>PRODUCT(SEMANAL!$B$54,D$285)/1000</f>
        <v>0.3</v>
      </c>
      <c r="E288" s="70">
        <f>PRODUCT(SEMANAL!$B$54,E$285)/1000</f>
        <v>8.1999999999999993</v>
      </c>
      <c r="F288" s="70">
        <f>PRODUCT(SEMANAL!$B$54,F$285)/1000</f>
        <v>0</v>
      </c>
      <c r="G288" s="70">
        <f>PRODUCT(SEMANAL!$B$54,G$285)/1000</f>
        <v>1.4</v>
      </c>
      <c r="H288" s="70">
        <f>PRODUCT(SEMANAL!$B$54,H$285)/1000</f>
        <v>0</v>
      </c>
      <c r="I288" s="70">
        <f>PRODUCT(SEMANAL!$B$54,I$285)/1000</f>
        <v>0</v>
      </c>
      <c r="J288" s="70">
        <f>PRODUCT(SEMANAL!$B$54,J$285)/1000</f>
        <v>8.6999999999999993</v>
      </c>
      <c r="K288" s="70">
        <f>PRODUCT(SEMANAL!$B$54,K$285)/1000</f>
        <v>4.3</v>
      </c>
      <c r="L288" s="70">
        <f>PRODUCT(SEMANAL!$B$54,L$285)/1000</f>
        <v>5.6</v>
      </c>
      <c r="M288" s="70">
        <f>PRODUCT(SEMANAL!$B$54,M$285)/1000</f>
        <v>0</v>
      </c>
      <c r="N288" s="70">
        <f>PRODUCT(SEMANAL!$B$54,N$285)/1000</f>
        <v>1</v>
      </c>
      <c r="O288" s="21">
        <f>SUM('OC CAR y PAN AZUL 2'!B19:N19)</f>
        <v>38</v>
      </c>
      <c r="P288" s="1">
        <v>9500</v>
      </c>
      <c r="Q288" s="1">
        <f t="shared" si="10"/>
        <v>361000</v>
      </c>
      <c r="R288" s="33"/>
      <c r="S288" s="33"/>
      <c r="T288" s="1"/>
      <c r="U288" s="1"/>
      <c r="V288" s="1"/>
      <c r="W288" s="1"/>
      <c r="X288" s="1"/>
      <c r="Y288" s="2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21"/>
      <c r="P289" s="1" t="s">
        <v>33</v>
      </c>
      <c r="Q289" s="1">
        <f>SUM(Q286:Q288)</f>
        <v>960700</v>
      </c>
      <c r="R289" s="33"/>
      <c r="S289" s="33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26" t="s">
        <v>34</v>
      </c>
      <c r="C290" s="27" t="s">
        <v>35</v>
      </c>
      <c r="D290" s="26" t="s">
        <v>36</v>
      </c>
      <c r="E290" s="26" t="s">
        <v>37</v>
      </c>
      <c r="F290" s="26" t="s">
        <v>38</v>
      </c>
      <c r="G290" s="26" t="s">
        <v>39</v>
      </c>
      <c r="H290" s="26" t="s">
        <v>40</v>
      </c>
      <c r="I290" s="26" t="s">
        <v>41</v>
      </c>
      <c r="J290" s="26" t="s">
        <v>42</v>
      </c>
      <c r="K290" s="26" t="s">
        <v>43</v>
      </c>
      <c r="L290" s="26" t="s">
        <v>44</v>
      </c>
      <c r="M290" s="26" t="s">
        <v>45</v>
      </c>
      <c r="N290" s="26" t="s">
        <v>46</v>
      </c>
      <c r="O290" s="21"/>
      <c r="P290" s="1"/>
      <c r="Q290" s="1"/>
      <c r="R290" s="1"/>
      <c r="S290" s="1"/>
      <c r="T290" s="1"/>
      <c r="U290" s="1"/>
      <c r="V290" s="1"/>
      <c r="W290" s="1"/>
      <c r="X290" s="1"/>
      <c r="Y290" s="21"/>
      <c r="Z290" s="1"/>
    </row>
    <row r="291" spans="1:26" ht="14.25" customHeight="1">
      <c r="A291" s="1"/>
      <c r="B291" s="19">
        <v>49</v>
      </c>
      <c r="C291" s="19">
        <v>230</v>
      </c>
      <c r="D291" s="19">
        <v>19</v>
      </c>
      <c r="E291" s="19">
        <v>38</v>
      </c>
      <c r="F291" s="19">
        <v>26</v>
      </c>
      <c r="G291" s="19">
        <v>5</v>
      </c>
      <c r="H291" s="19">
        <v>5</v>
      </c>
      <c r="I291" s="19">
        <v>8</v>
      </c>
      <c r="J291" s="19">
        <v>8</v>
      </c>
      <c r="K291" s="19">
        <v>7</v>
      </c>
      <c r="L291" s="19">
        <v>10</v>
      </c>
      <c r="M291" s="19">
        <v>17</v>
      </c>
      <c r="N291" s="19">
        <v>9</v>
      </c>
      <c r="O291" s="21"/>
      <c r="P291" s="1"/>
      <c r="Q291" s="1"/>
      <c r="R291" s="42"/>
      <c r="S291" s="42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9">
        <v>40</v>
      </c>
      <c r="C292" s="19">
        <v>115</v>
      </c>
      <c r="D292" s="19">
        <v>0</v>
      </c>
      <c r="E292" s="19">
        <v>0</v>
      </c>
      <c r="F292" s="19">
        <v>13</v>
      </c>
      <c r="G292" s="19">
        <v>1</v>
      </c>
      <c r="H292" s="19">
        <v>0</v>
      </c>
      <c r="I292" s="19">
        <v>0</v>
      </c>
      <c r="J292" s="19">
        <v>0</v>
      </c>
      <c r="K292" s="19">
        <v>0</v>
      </c>
      <c r="L292" s="19">
        <v>0</v>
      </c>
      <c r="M292" s="19">
        <v>0</v>
      </c>
      <c r="N292" s="19">
        <v>3</v>
      </c>
      <c r="O292" s="21"/>
      <c r="P292" s="1" t="s">
        <v>18</v>
      </c>
      <c r="Q292" s="1" t="s">
        <v>19</v>
      </c>
      <c r="R292" s="12"/>
      <c r="S292" s="12"/>
      <c r="T292" s="1"/>
      <c r="U292" s="1"/>
      <c r="V292" s="1"/>
      <c r="W292" s="1"/>
      <c r="X292" s="1"/>
      <c r="Y292" s="1"/>
      <c r="Z292" s="1"/>
    </row>
    <row r="293" spans="1:26" ht="14.25" customHeight="1">
      <c r="A293" s="78" t="s">
        <v>173</v>
      </c>
      <c r="B293" s="79">
        <f>PRODUCT(SEMANAL!$B$52,B$292)/1000</f>
        <v>4</v>
      </c>
      <c r="C293" s="79">
        <f>PRODUCT(SEMANAL!$B$52,C$292)/1000</f>
        <v>11.5</v>
      </c>
      <c r="D293" s="79">
        <f>PRODUCT(SEMANAL!$B$52,D$292)/1000</f>
        <v>0</v>
      </c>
      <c r="E293" s="79">
        <f>PRODUCT(SEMANAL!$B$52,E$292)/1000</f>
        <v>0</v>
      </c>
      <c r="F293" s="79">
        <f>PRODUCT(SEMANAL!$B$52,F$292)/1000</f>
        <v>1.3</v>
      </c>
      <c r="G293" s="79">
        <f>PRODUCT(SEMANAL!$B$52,G$292)/1000</f>
        <v>0.1</v>
      </c>
      <c r="H293" s="79">
        <f>PRODUCT(SEMANAL!$B$52,H$292)/1000</f>
        <v>0</v>
      </c>
      <c r="I293" s="79">
        <f>PRODUCT(SEMANAL!$B$52,I$292)/1000</f>
        <v>0</v>
      </c>
      <c r="J293" s="79">
        <f>PRODUCT(SEMANAL!$B$52,J$292)/1000</f>
        <v>0</v>
      </c>
      <c r="K293" s="79">
        <f>PRODUCT(SEMANAL!$B$52,K$292)/1000</f>
        <v>0</v>
      </c>
      <c r="L293" s="79">
        <f>PRODUCT(SEMANAL!$B$52,L$292)/1000</f>
        <v>0</v>
      </c>
      <c r="M293" s="79">
        <f>PRODUCT(SEMANAL!$B$52,M$292)/1000</f>
        <v>0</v>
      </c>
      <c r="N293" s="79">
        <f>PRODUCT(SEMANAL!$B$52,N$292)/1000</f>
        <v>0.3</v>
      </c>
      <c r="O293" s="21">
        <f>SUM('OC CAR y PAN AZUL 2'!B24:N24)</f>
        <v>19</v>
      </c>
      <c r="P293" s="1">
        <v>8400</v>
      </c>
      <c r="Q293" s="1">
        <f t="shared" ref="Q293:Q295" si="11">PRODUCT(O293:P293)</f>
        <v>159600</v>
      </c>
      <c r="R293" s="4"/>
      <c r="S293" s="4"/>
      <c r="T293" s="1"/>
      <c r="U293" s="1"/>
      <c r="V293" s="1"/>
      <c r="W293" s="1"/>
      <c r="X293" s="1"/>
      <c r="Y293" s="1"/>
      <c r="Z293" s="1"/>
    </row>
    <row r="294" spans="1:26" ht="14.25" customHeight="1">
      <c r="A294" s="18" t="s">
        <v>171</v>
      </c>
      <c r="B294" s="79">
        <f>PRODUCT(SEMANAL!$B$53,B$292)/1000*1.68</f>
        <v>5.3760000000000003</v>
      </c>
      <c r="C294" s="79">
        <f>PRODUCT(SEMANAL!$B$53,C$292)/1000*1.68</f>
        <v>15.455999999999998</v>
      </c>
      <c r="D294" s="79">
        <f>PRODUCT(SEMANAL!$B$53,D$292)/1000*1.68</f>
        <v>0</v>
      </c>
      <c r="E294" s="79">
        <f>PRODUCT(SEMANAL!$B$53,E$292)/1000*1.68</f>
        <v>0</v>
      </c>
      <c r="F294" s="79">
        <f>PRODUCT(SEMANAL!$B$53,F$292)/1000*1.68</f>
        <v>1.7472000000000001</v>
      </c>
      <c r="G294" s="79">
        <f>PRODUCT(SEMANAL!$B$53,G$292)/1000*1.68</f>
        <v>0.13439999999999999</v>
      </c>
      <c r="H294" s="79">
        <f>PRODUCT(SEMANAL!$B$53,H$292)/1000*1.68</f>
        <v>0</v>
      </c>
      <c r="I294" s="79">
        <f>PRODUCT(SEMANAL!$B$53,I$292)/1000*1.68</f>
        <v>0</v>
      </c>
      <c r="J294" s="79">
        <f>PRODUCT(SEMANAL!$B$53,J$292)/1000*1.68</f>
        <v>0</v>
      </c>
      <c r="K294" s="79">
        <f>PRODUCT(SEMANAL!$B$53,K$292)/1000*1.68</f>
        <v>0</v>
      </c>
      <c r="L294" s="79">
        <f>PRODUCT(SEMANAL!$B$53,L$292)/1000*1.68</f>
        <v>0</v>
      </c>
      <c r="M294" s="79">
        <f>PRODUCT(SEMANAL!$B$53,M$292)/1000*1.68</f>
        <v>0</v>
      </c>
      <c r="N294" s="79">
        <f>PRODUCT(SEMANAL!$B$53,N$292)/1000*1.68</f>
        <v>0.40319999999999995</v>
      </c>
      <c r="O294" s="21">
        <f>SUM('OC CAR y PAN AZUL 2'!B25:N25)</f>
        <v>25</v>
      </c>
      <c r="P294" s="1">
        <v>5500</v>
      </c>
      <c r="Q294" s="1">
        <f t="shared" si="11"/>
        <v>137500</v>
      </c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78" t="s">
        <v>172</v>
      </c>
      <c r="B295" s="79">
        <f>PRODUCT(SEMANAL!$B$54,B$292)/1000</f>
        <v>4</v>
      </c>
      <c r="C295" s="79">
        <f>PRODUCT(SEMANAL!$B$54,C$292)/1000</f>
        <v>11.5</v>
      </c>
      <c r="D295" s="79">
        <f>PRODUCT(SEMANAL!$B$54,D$292)/1000</f>
        <v>0</v>
      </c>
      <c r="E295" s="79">
        <f>PRODUCT(SEMANAL!$B$54,E$292)/1000</f>
        <v>0</v>
      </c>
      <c r="F295" s="79">
        <f>PRODUCT(SEMANAL!$B$54,F$292)/1000</f>
        <v>1.3</v>
      </c>
      <c r="G295" s="79">
        <f>PRODUCT(SEMANAL!$B$54,G$292)/1000</f>
        <v>0.1</v>
      </c>
      <c r="H295" s="79">
        <f>PRODUCT(SEMANAL!$B$54,H$292)/1000</f>
        <v>0</v>
      </c>
      <c r="I295" s="79">
        <f>PRODUCT(SEMANAL!$B$54,I$292)/1000</f>
        <v>0</v>
      </c>
      <c r="J295" s="79">
        <f>PRODUCT(SEMANAL!$B$54,J$292)/1000</f>
        <v>0</v>
      </c>
      <c r="K295" s="79">
        <f>PRODUCT(SEMANAL!$B$54,K$292)/1000</f>
        <v>0</v>
      </c>
      <c r="L295" s="79">
        <f>PRODUCT(SEMANAL!$B$54,L$292)/1000</f>
        <v>0</v>
      </c>
      <c r="M295" s="79">
        <f>PRODUCT(SEMANAL!$B$54,M$292)/1000</f>
        <v>0</v>
      </c>
      <c r="N295" s="79">
        <f>PRODUCT(SEMANAL!$B$54,N$292)/1000</f>
        <v>0.3</v>
      </c>
      <c r="O295" s="21">
        <f>SUM('OC CAR y PAN AZUL 2'!B26:N26)</f>
        <v>19</v>
      </c>
      <c r="P295" s="1">
        <v>9500</v>
      </c>
      <c r="Q295" s="1">
        <f t="shared" si="11"/>
        <v>180500</v>
      </c>
      <c r="R295" s="20"/>
      <c r="S295" s="20"/>
      <c r="T295" s="21"/>
      <c r="U295" s="1"/>
      <c r="V295" s="1"/>
      <c r="W295" s="1"/>
      <c r="X295" s="1"/>
      <c r="Y295" s="2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21"/>
      <c r="P296" s="1" t="s">
        <v>33</v>
      </c>
      <c r="Q296" s="1">
        <f>SUM(Q293:Q295)</f>
        <v>477600</v>
      </c>
      <c r="R296" s="20"/>
      <c r="S296" s="20"/>
      <c r="T296" s="21"/>
      <c r="U296" s="1"/>
      <c r="V296" s="1"/>
      <c r="W296" s="1"/>
      <c r="X296" s="1"/>
      <c r="Y296" s="21"/>
      <c r="Z296" s="1"/>
    </row>
    <row r="297" spans="1:26" ht="14.25" customHeight="1">
      <c r="A297" s="1"/>
      <c r="B297" s="26" t="s">
        <v>47</v>
      </c>
      <c r="C297" s="26" t="s">
        <v>48</v>
      </c>
      <c r="D297" s="26" t="s">
        <v>49</v>
      </c>
      <c r="E297" s="26" t="s">
        <v>50</v>
      </c>
      <c r="F297" s="26" t="s">
        <v>51</v>
      </c>
      <c r="G297" s="26" t="s">
        <v>52</v>
      </c>
      <c r="H297" s="26" t="s">
        <v>53</v>
      </c>
      <c r="I297" s="26" t="s">
        <v>54</v>
      </c>
      <c r="J297" s="26" t="s">
        <v>54</v>
      </c>
      <c r="K297" s="26" t="s">
        <v>55</v>
      </c>
      <c r="L297" s="26" t="s">
        <v>56</v>
      </c>
      <c r="M297" s="26" t="s">
        <v>56</v>
      </c>
      <c r="N297" s="27" t="s">
        <v>57</v>
      </c>
      <c r="O297" s="21"/>
      <c r="P297" s="1"/>
      <c r="Q297" s="1"/>
      <c r="R297" s="20"/>
      <c r="S297" s="20"/>
      <c r="T297" s="21"/>
      <c r="U297" s="1"/>
      <c r="V297" s="1"/>
      <c r="W297" s="1"/>
      <c r="X297" s="1"/>
      <c r="Y297" s="21"/>
      <c r="Z297" s="1"/>
    </row>
    <row r="298" spans="1:26" ht="14.25" customHeight="1">
      <c r="A298" s="1"/>
      <c r="B298" s="63"/>
      <c r="C298" s="63"/>
      <c r="D298" s="63"/>
      <c r="E298" s="63"/>
      <c r="F298" s="26" t="s">
        <v>58</v>
      </c>
      <c r="G298" s="63"/>
      <c r="H298" s="63"/>
      <c r="I298" s="26" t="s">
        <v>6</v>
      </c>
      <c r="J298" s="26" t="s">
        <v>59</v>
      </c>
      <c r="K298" s="63"/>
      <c r="L298" s="26" t="s">
        <v>60</v>
      </c>
      <c r="M298" s="26" t="s">
        <v>61</v>
      </c>
      <c r="N298" s="26" t="s">
        <v>62</v>
      </c>
      <c r="O298" s="21"/>
      <c r="P298" s="1"/>
      <c r="Q298" s="1"/>
      <c r="R298" s="20"/>
      <c r="S298" s="20"/>
      <c r="T298" s="21"/>
      <c r="U298" s="1"/>
      <c r="V298" s="1"/>
      <c r="W298" s="1"/>
      <c r="X298" s="1"/>
      <c r="Y298" s="21"/>
      <c r="Z298" s="1"/>
    </row>
    <row r="299" spans="1:26" ht="14.25" customHeight="1">
      <c r="A299" s="1"/>
      <c r="B299" s="19">
        <v>167</v>
      </c>
      <c r="C299" s="19">
        <v>148</v>
      </c>
      <c r="D299" s="19">
        <v>7</v>
      </c>
      <c r="E299" s="19">
        <v>178</v>
      </c>
      <c r="F299" s="19">
        <v>108</v>
      </c>
      <c r="G299" s="19">
        <v>35</v>
      </c>
      <c r="H299" s="19">
        <v>149</v>
      </c>
      <c r="I299" s="19">
        <v>99</v>
      </c>
      <c r="J299" s="19">
        <v>33</v>
      </c>
      <c r="K299" s="19">
        <v>150</v>
      </c>
      <c r="L299" s="19">
        <v>123</v>
      </c>
      <c r="M299" s="19">
        <v>78</v>
      </c>
      <c r="N299" s="19">
        <v>170</v>
      </c>
      <c r="O299" s="21"/>
      <c r="P299" s="1"/>
      <c r="Q299" s="1"/>
      <c r="R299" s="20"/>
      <c r="S299" s="20"/>
      <c r="T299" s="21"/>
      <c r="U299" s="1"/>
      <c r="V299" s="1"/>
      <c r="W299" s="1"/>
      <c r="X299" s="1"/>
      <c r="Y299" s="21"/>
      <c r="Z299" s="1"/>
    </row>
    <row r="300" spans="1:26" ht="14.25" customHeight="1">
      <c r="A300" s="1"/>
      <c r="B300" s="19">
        <v>60</v>
      </c>
      <c r="C300" s="19">
        <v>100</v>
      </c>
      <c r="D300" s="19">
        <v>0</v>
      </c>
      <c r="E300" s="19">
        <v>89</v>
      </c>
      <c r="F300" s="19">
        <v>0</v>
      </c>
      <c r="G300" s="19">
        <v>0</v>
      </c>
      <c r="H300" s="19">
        <v>149</v>
      </c>
      <c r="I300" s="19">
        <v>0</v>
      </c>
      <c r="J300" s="19">
        <v>0</v>
      </c>
      <c r="K300" s="19">
        <v>95</v>
      </c>
      <c r="L300" s="19">
        <v>0</v>
      </c>
      <c r="M300" s="19">
        <v>0</v>
      </c>
      <c r="N300" s="19">
        <v>70</v>
      </c>
      <c r="O300" s="21"/>
      <c r="P300" s="1" t="s">
        <v>18</v>
      </c>
      <c r="Q300" s="1" t="s">
        <v>19</v>
      </c>
      <c r="R300" s="20"/>
      <c r="S300" s="20"/>
      <c r="T300" s="21"/>
      <c r="U300" s="1"/>
      <c r="V300" s="1"/>
      <c r="W300" s="1"/>
      <c r="X300" s="1"/>
      <c r="Y300" s="21"/>
      <c r="Z300" s="1"/>
    </row>
    <row r="301" spans="1:26" ht="14.25" customHeight="1">
      <c r="A301" s="78" t="s">
        <v>170</v>
      </c>
      <c r="B301" s="79">
        <f>PRODUCT(SEMANAL!$B$52,B$300)/1000</f>
        <v>6</v>
      </c>
      <c r="C301" s="79">
        <f>PRODUCT(SEMANAL!$B$52,C$300)/1000</f>
        <v>10</v>
      </c>
      <c r="D301" s="79">
        <f>PRODUCT(SEMANAL!$B$52,D$300)/1000</f>
        <v>0</v>
      </c>
      <c r="E301" s="79">
        <f>PRODUCT(SEMANAL!$B$52,E$300)/1000</f>
        <v>8.9</v>
      </c>
      <c r="F301" s="79">
        <f>PRODUCT(SEMANAL!$B$52,F$300)/1000</f>
        <v>0</v>
      </c>
      <c r="G301" s="79">
        <f>PRODUCT(SEMANAL!$B$52,G$300)/1000</f>
        <v>0</v>
      </c>
      <c r="H301" s="79">
        <f>PRODUCT(SEMANAL!$B$52,H$300)/1000</f>
        <v>14.9</v>
      </c>
      <c r="I301" s="79">
        <f>PRODUCT(SEMANAL!$B$52,I$300)/1000</f>
        <v>0</v>
      </c>
      <c r="J301" s="79">
        <f>PRODUCT(SEMANAL!$B$52,J$300)/1000</f>
        <v>0</v>
      </c>
      <c r="K301" s="79">
        <f>PRODUCT(SEMANAL!$B$52,K$300)/1000</f>
        <v>9.5</v>
      </c>
      <c r="L301" s="79">
        <f>PRODUCT(SEMANAL!$B$52,L$300)/1000</f>
        <v>0</v>
      </c>
      <c r="M301" s="79">
        <f>PRODUCT(SEMANAL!$B$52,M$300)/1000</f>
        <v>0</v>
      </c>
      <c r="N301" s="79">
        <f>PRODUCT(SEMANAL!$B$52,N$300)/1000</f>
        <v>7</v>
      </c>
      <c r="O301" s="21">
        <f>SUM('OC CAR y PAN AZUL 2'!B32:N32)</f>
        <v>57</v>
      </c>
      <c r="P301" s="1">
        <v>8400</v>
      </c>
      <c r="Q301" s="1">
        <f t="shared" ref="Q301:Q303" si="12">PRODUCT(O301:P301)</f>
        <v>478800</v>
      </c>
      <c r="R301" s="20"/>
      <c r="S301" s="20"/>
      <c r="T301" s="21"/>
      <c r="U301" s="1"/>
      <c r="V301" s="1"/>
      <c r="W301" s="1"/>
      <c r="X301" s="1"/>
      <c r="Y301" s="21"/>
      <c r="Z301" s="1"/>
    </row>
    <row r="302" spans="1:26" ht="14.25" customHeight="1">
      <c r="A302" s="18" t="s">
        <v>171</v>
      </c>
      <c r="B302" s="79">
        <f>PRODUCT(SEMANAL!$B$53,B$300)/1000*1.68</f>
        <v>8.0640000000000001</v>
      </c>
      <c r="C302" s="79">
        <f>PRODUCT(SEMANAL!$B$53,C$300)/1000*1.68</f>
        <v>13.44</v>
      </c>
      <c r="D302" s="79">
        <f>PRODUCT(SEMANAL!$B$53,D$300)/1000*1.68</f>
        <v>0</v>
      </c>
      <c r="E302" s="79">
        <f>PRODUCT(SEMANAL!$B$53,E$300)/1000*1.68</f>
        <v>11.961599999999999</v>
      </c>
      <c r="F302" s="79">
        <f>PRODUCT(SEMANAL!$B$53,F$300)/1000*1.68</f>
        <v>0</v>
      </c>
      <c r="G302" s="79">
        <f>PRODUCT(SEMANAL!$B$53,G$300)/1000*1.68</f>
        <v>0</v>
      </c>
      <c r="H302" s="79">
        <f>PRODUCT(SEMANAL!$B$53,H$300)/1000*1.68</f>
        <v>20.025600000000001</v>
      </c>
      <c r="I302" s="79">
        <f>PRODUCT(SEMANAL!$B$53,I$300)/1000*1.68</f>
        <v>0</v>
      </c>
      <c r="J302" s="79">
        <f>PRODUCT(SEMANAL!$B$53,J$300)/1000*1.68</f>
        <v>0</v>
      </c>
      <c r="K302" s="79">
        <f>PRODUCT(SEMANAL!$B$53,K$300)/1000*1.68</f>
        <v>12.767999999999999</v>
      </c>
      <c r="L302" s="79">
        <f>PRODUCT(SEMANAL!$B$53,L$300)/1000*1.68</f>
        <v>0</v>
      </c>
      <c r="M302" s="79">
        <f>PRODUCT(SEMANAL!$B$53,M$300)/1000*1.68</f>
        <v>0</v>
      </c>
      <c r="N302" s="79">
        <f>PRODUCT(SEMANAL!$B$53,N$300)/1000*1.68</f>
        <v>9.4079999999999995</v>
      </c>
      <c r="O302" s="21">
        <f>SUM('OC CAR y PAN AZUL 2'!B33:N33)</f>
        <v>77</v>
      </c>
      <c r="P302" s="1">
        <v>5500</v>
      </c>
      <c r="Q302" s="1">
        <f t="shared" si="12"/>
        <v>423500</v>
      </c>
      <c r="R302" s="20"/>
      <c r="S302" s="20"/>
      <c r="T302" s="21"/>
      <c r="U302" s="1"/>
      <c r="V302" s="1"/>
      <c r="W302" s="1"/>
      <c r="X302" s="1"/>
      <c r="Y302" s="21"/>
      <c r="Z302" s="1"/>
    </row>
    <row r="303" spans="1:26" ht="14.25" customHeight="1">
      <c r="A303" s="78" t="s">
        <v>172</v>
      </c>
      <c r="B303" s="79">
        <f>PRODUCT(SEMANAL!$B$54,B$300)/1000</f>
        <v>6</v>
      </c>
      <c r="C303" s="79">
        <f>PRODUCT(SEMANAL!$B$54,C$300)/1000</f>
        <v>10</v>
      </c>
      <c r="D303" s="79">
        <f>PRODUCT(SEMANAL!$B$54,D$300)/1000</f>
        <v>0</v>
      </c>
      <c r="E303" s="79">
        <f>PRODUCT(SEMANAL!$B$54,E$300)/1000</f>
        <v>8.9</v>
      </c>
      <c r="F303" s="79">
        <f>PRODUCT(SEMANAL!$B$54,F$300)/1000</f>
        <v>0</v>
      </c>
      <c r="G303" s="79">
        <f>PRODUCT(SEMANAL!$B$54,G$300)/1000</f>
        <v>0</v>
      </c>
      <c r="H303" s="79">
        <f>PRODUCT(SEMANAL!$B$54,H$300)/1000</f>
        <v>14.9</v>
      </c>
      <c r="I303" s="79">
        <f>PRODUCT(SEMANAL!$B$54,I$300)/1000</f>
        <v>0</v>
      </c>
      <c r="J303" s="79">
        <f>PRODUCT(SEMANAL!$B$54,J$300)/1000</f>
        <v>0</v>
      </c>
      <c r="K303" s="79">
        <f>PRODUCT(SEMANAL!$B$54,K$300)/1000</f>
        <v>9.5</v>
      </c>
      <c r="L303" s="79">
        <f>PRODUCT(SEMANAL!$B$54,L$300)/1000</f>
        <v>0</v>
      </c>
      <c r="M303" s="79">
        <f>PRODUCT(SEMANAL!$B$54,M$300)/1000</f>
        <v>0</v>
      </c>
      <c r="N303" s="79">
        <f>PRODUCT(SEMANAL!$B$54,N$300)/1000</f>
        <v>7</v>
      </c>
      <c r="O303" s="21">
        <f>SUM('OC CAR y PAN AZUL 2'!B34:N34)</f>
        <v>57</v>
      </c>
      <c r="P303" s="1">
        <v>9500</v>
      </c>
      <c r="Q303" s="1">
        <f t="shared" si="12"/>
        <v>541500</v>
      </c>
      <c r="R303" s="20"/>
      <c r="S303" s="20"/>
      <c r="T303" s="21"/>
      <c r="U303" s="1"/>
      <c r="V303" s="1"/>
      <c r="W303" s="1"/>
      <c r="X303" s="1"/>
      <c r="Y303" s="2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21"/>
      <c r="P304" s="1" t="s">
        <v>33</v>
      </c>
      <c r="Q304" s="1">
        <f>SUM(Q301:Q303)</f>
        <v>1443800</v>
      </c>
      <c r="R304" s="20"/>
      <c r="S304" s="20"/>
      <c r="T304" s="21"/>
      <c r="U304" s="1"/>
      <c r="V304" s="1"/>
      <c r="W304" s="1"/>
      <c r="X304" s="1"/>
      <c r="Y304" s="21"/>
      <c r="Z304" s="1"/>
    </row>
    <row r="305" spans="1:26" ht="14.25" customHeight="1">
      <c r="A305" s="1"/>
      <c r="B305" s="26" t="s">
        <v>63</v>
      </c>
      <c r="C305" s="26" t="s">
        <v>64</v>
      </c>
      <c r="D305" s="26" t="s">
        <v>65</v>
      </c>
      <c r="E305" s="64" t="s">
        <v>66</v>
      </c>
      <c r="F305" s="34" t="s">
        <v>67</v>
      </c>
      <c r="G305" s="65" t="s">
        <v>68</v>
      </c>
      <c r="H305" s="26">
        <v>502</v>
      </c>
      <c r="I305" s="26">
        <v>503</v>
      </c>
      <c r="J305" s="26">
        <v>504</v>
      </c>
      <c r="K305" s="26">
        <v>505</v>
      </c>
      <c r="L305" s="66" t="s">
        <v>69</v>
      </c>
      <c r="M305" s="67" t="s">
        <v>70</v>
      </c>
      <c r="N305" s="67" t="s">
        <v>71</v>
      </c>
      <c r="O305" s="21"/>
      <c r="P305" s="1"/>
      <c r="Q305" s="1"/>
      <c r="R305" s="20"/>
      <c r="S305" s="20"/>
      <c r="T305" s="21"/>
      <c r="U305" s="1"/>
      <c r="V305" s="1"/>
      <c r="W305" s="1"/>
      <c r="X305" s="1"/>
      <c r="Y305" s="21"/>
      <c r="Z305" s="1"/>
    </row>
    <row r="306" spans="1:26" ht="14.25" customHeight="1">
      <c r="A306" s="1"/>
      <c r="B306" s="36" t="s">
        <v>34</v>
      </c>
      <c r="C306" s="37"/>
      <c r="D306" s="37"/>
      <c r="E306" s="36" t="s">
        <v>72</v>
      </c>
      <c r="F306" s="38"/>
      <c r="G306" s="68"/>
      <c r="H306" s="37"/>
      <c r="I306" s="37"/>
      <c r="J306" s="37"/>
      <c r="K306" s="37"/>
      <c r="L306" s="37"/>
      <c r="M306" s="37"/>
      <c r="N306" s="37"/>
      <c r="O306" s="21"/>
      <c r="P306" s="1"/>
      <c r="Q306" s="1"/>
      <c r="R306" s="20"/>
      <c r="S306" s="20"/>
      <c r="T306" s="21"/>
      <c r="U306" s="1"/>
      <c r="V306" s="1"/>
      <c r="W306" s="1"/>
      <c r="X306" s="1"/>
      <c r="Y306" s="21"/>
      <c r="Z306" s="1"/>
    </row>
    <row r="307" spans="1:26" ht="14.25" customHeight="1">
      <c r="A307" s="1"/>
      <c r="B307" s="19">
        <v>68</v>
      </c>
      <c r="C307" s="40">
        <v>566</v>
      </c>
      <c r="D307" s="19">
        <v>850</v>
      </c>
      <c r="E307" s="19">
        <v>121</v>
      </c>
      <c r="F307" s="19">
        <v>100</v>
      </c>
      <c r="G307" s="19">
        <v>108</v>
      </c>
      <c r="H307" s="19">
        <v>124</v>
      </c>
      <c r="I307" s="19">
        <v>46</v>
      </c>
      <c r="J307" s="19">
        <v>50</v>
      </c>
      <c r="K307" s="19">
        <v>104</v>
      </c>
      <c r="L307" s="19">
        <v>60</v>
      </c>
      <c r="M307" s="19">
        <v>42</v>
      </c>
      <c r="N307" s="19">
        <v>103</v>
      </c>
      <c r="O307" s="21"/>
      <c r="P307" s="1"/>
      <c r="Q307" s="1"/>
      <c r="R307" s="20"/>
      <c r="S307" s="20"/>
      <c r="T307" s="21"/>
      <c r="U307" s="1"/>
      <c r="V307" s="1"/>
      <c r="W307" s="1"/>
      <c r="X307" s="1"/>
      <c r="Y307" s="21"/>
      <c r="Z307" s="1"/>
    </row>
    <row r="308" spans="1:26" ht="14.25" customHeight="1">
      <c r="A308" s="1"/>
      <c r="B308" s="19">
        <v>68</v>
      </c>
      <c r="C308" s="41">
        <v>160</v>
      </c>
      <c r="D308" s="19">
        <v>0</v>
      </c>
      <c r="E308" s="19">
        <v>0</v>
      </c>
      <c r="F308" s="19">
        <v>100</v>
      </c>
      <c r="G308" s="19">
        <v>54</v>
      </c>
      <c r="H308" s="19">
        <v>62</v>
      </c>
      <c r="I308" s="19">
        <v>23</v>
      </c>
      <c r="J308" s="19">
        <v>25</v>
      </c>
      <c r="K308" s="19">
        <v>52</v>
      </c>
      <c r="L308" s="19">
        <v>30</v>
      </c>
      <c r="M308" s="19">
        <v>19</v>
      </c>
      <c r="N308" s="19">
        <v>103</v>
      </c>
      <c r="O308" s="21"/>
      <c r="P308" s="1" t="s">
        <v>18</v>
      </c>
      <c r="Q308" s="1" t="s">
        <v>19</v>
      </c>
      <c r="R308" s="20"/>
      <c r="S308" s="20"/>
      <c r="T308" s="21"/>
      <c r="U308" s="1"/>
      <c r="V308" s="1"/>
      <c r="W308" s="1"/>
      <c r="X308" s="1"/>
      <c r="Y308" s="21"/>
      <c r="Z308" s="1"/>
    </row>
    <row r="309" spans="1:26" ht="14.25" customHeight="1">
      <c r="A309" s="78" t="s">
        <v>170</v>
      </c>
      <c r="B309" s="79">
        <f>PRODUCT(SEMANAL!$B$52,B$308)/1000</f>
        <v>6.8</v>
      </c>
      <c r="C309" s="79">
        <f>PRODUCT(SEMANAL!$B$52,C$308)/1000</f>
        <v>16</v>
      </c>
      <c r="D309" s="79">
        <f>PRODUCT(SEMANAL!$B$52,D$308)/1000</f>
        <v>0</v>
      </c>
      <c r="E309" s="79">
        <f>PRODUCT(SEMANAL!$B$52,E$308)/1000</f>
        <v>0</v>
      </c>
      <c r="F309" s="79">
        <f>PRODUCT(SEMANAL!$B$52,F$308)/1000</f>
        <v>10</v>
      </c>
      <c r="G309" s="79">
        <f>PRODUCT(SEMANAL!$B$52,G$308)/1000</f>
        <v>5.4</v>
      </c>
      <c r="H309" s="79">
        <f>PRODUCT(SEMANAL!$B$52,H$308)/1000</f>
        <v>6.2</v>
      </c>
      <c r="I309" s="79">
        <f>PRODUCT(SEMANAL!$B$52,I$308)/1000</f>
        <v>2.2999999999999998</v>
      </c>
      <c r="J309" s="79">
        <f>PRODUCT(SEMANAL!$B$52,J$308)/1000</f>
        <v>2.5</v>
      </c>
      <c r="K309" s="79">
        <f>PRODUCT(SEMANAL!$B$52,K$308)/1000</f>
        <v>5.2</v>
      </c>
      <c r="L309" s="79">
        <f>PRODUCT(SEMANAL!$B$52,L$308)/1000</f>
        <v>3</v>
      </c>
      <c r="M309" s="79">
        <f>PRODUCT(SEMANAL!$B$52,M$308)/1000</f>
        <v>1.9</v>
      </c>
      <c r="N309" s="79">
        <f>PRODUCT(SEMANAL!$B$52,N$308)/1000</f>
        <v>10.3</v>
      </c>
      <c r="O309" s="21">
        <f>SUM('OC CAR y PAN AZUL 2'!B40:N40)</f>
        <v>74</v>
      </c>
      <c r="P309" s="1">
        <v>8400</v>
      </c>
      <c r="Q309" s="1">
        <f t="shared" ref="Q309:Q311" si="13">PRODUCT(O309:P309)</f>
        <v>621600</v>
      </c>
      <c r="R309" s="20"/>
      <c r="S309" s="20"/>
      <c r="T309" s="21"/>
      <c r="U309" s="1"/>
      <c r="V309" s="1"/>
      <c r="W309" s="1"/>
      <c r="X309" s="1"/>
      <c r="Y309" s="21"/>
      <c r="Z309" s="1"/>
    </row>
    <row r="310" spans="1:26" ht="14.25" customHeight="1">
      <c r="A310" s="18" t="s">
        <v>171</v>
      </c>
      <c r="B310" s="79">
        <f>PRODUCT(SEMANAL!$B$53,B$308)/1000*1.68</f>
        <v>9.1392000000000007</v>
      </c>
      <c r="C310" s="79">
        <f>PRODUCT(SEMANAL!$B$53,C$308)/1000*1.68</f>
        <v>21.504000000000001</v>
      </c>
      <c r="D310" s="79">
        <f>PRODUCT(SEMANAL!$B$53,D$308)/1000*1.68</f>
        <v>0</v>
      </c>
      <c r="E310" s="79">
        <f>PRODUCT(SEMANAL!$B$53,E$308)/1000*1.68</f>
        <v>0</v>
      </c>
      <c r="F310" s="79">
        <f>PRODUCT(SEMANAL!$B$53,F$308)/1000*1.68</f>
        <v>13.44</v>
      </c>
      <c r="G310" s="79">
        <f>PRODUCT(SEMANAL!$B$53,G$308)/1000*1.68</f>
        <v>7.2576000000000001</v>
      </c>
      <c r="H310" s="79">
        <f>PRODUCT(SEMANAL!$B$53,H$308)/1000*1.68</f>
        <v>8.3327999999999989</v>
      </c>
      <c r="I310" s="79">
        <f>PRODUCT(SEMANAL!$B$53,I$308)/1000*1.68</f>
        <v>3.0912000000000002</v>
      </c>
      <c r="J310" s="79">
        <f>PRODUCT(SEMANAL!$B$53,J$308)/1000*1.68</f>
        <v>3.36</v>
      </c>
      <c r="K310" s="79">
        <f>PRODUCT(SEMANAL!$B$53,K$308)/1000*1.68</f>
        <v>6.9888000000000003</v>
      </c>
      <c r="L310" s="79">
        <f>PRODUCT(SEMANAL!$B$53,L$308)/1000*1.68</f>
        <v>4.032</v>
      </c>
      <c r="M310" s="79">
        <f>PRODUCT(SEMANAL!$B$53,M$308)/1000*1.68</f>
        <v>2.5535999999999999</v>
      </c>
      <c r="N310" s="79">
        <f>PRODUCT(SEMANAL!$B$53,N$308)/1000*1.68</f>
        <v>13.8432</v>
      </c>
      <c r="O310" s="21">
        <f>SUM('OC CAR y PAN AZUL 2'!B41:N41)</f>
        <v>100</v>
      </c>
      <c r="P310" s="1">
        <v>5500</v>
      </c>
      <c r="Q310" s="1">
        <f t="shared" si="13"/>
        <v>550000</v>
      </c>
      <c r="R310" s="20"/>
      <c r="S310" s="20"/>
      <c r="T310" s="21"/>
      <c r="U310" s="1"/>
      <c r="V310" s="1"/>
      <c r="W310" s="1"/>
      <c r="X310" s="1"/>
      <c r="Y310" s="21"/>
      <c r="Z310" s="1"/>
    </row>
    <row r="311" spans="1:26" ht="14.25" customHeight="1">
      <c r="A311" s="78" t="s">
        <v>172</v>
      </c>
      <c r="B311" s="79">
        <f>PRODUCT(SEMANAL!$B$54,B$308)/1000</f>
        <v>6.8</v>
      </c>
      <c r="C311" s="79">
        <f>PRODUCT(SEMANAL!$B$54,C$308)/1000</f>
        <v>16</v>
      </c>
      <c r="D311" s="79">
        <f>PRODUCT(SEMANAL!$B$54,D$308)/1000</f>
        <v>0</v>
      </c>
      <c r="E311" s="79">
        <f>PRODUCT(SEMANAL!$B$54,E$308)/1000</f>
        <v>0</v>
      </c>
      <c r="F311" s="79">
        <f>PRODUCT(SEMANAL!$B$54,F$308)/1000</f>
        <v>10</v>
      </c>
      <c r="G311" s="79">
        <f>PRODUCT(SEMANAL!$B$54,G$308)/1000</f>
        <v>5.4</v>
      </c>
      <c r="H311" s="79">
        <f>PRODUCT(SEMANAL!$B$54,H$308)/1000</f>
        <v>6.2</v>
      </c>
      <c r="I311" s="79">
        <f>PRODUCT(SEMANAL!$B$54,I$308)/1000</f>
        <v>2.2999999999999998</v>
      </c>
      <c r="J311" s="79">
        <f>PRODUCT(SEMANAL!$B$54,J$308)/1000</f>
        <v>2.5</v>
      </c>
      <c r="K311" s="79">
        <f>PRODUCT(SEMANAL!$B$54,K$308)/1000</f>
        <v>5.2</v>
      </c>
      <c r="L311" s="79">
        <f>PRODUCT(SEMANAL!$B$54,L$308)/1000</f>
        <v>3</v>
      </c>
      <c r="M311" s="79">
        <f>PRODUCT(SEMANAL!$B$54,M$308)/1000</f>
        <v>1.9</v>
      </c>
      <c r="N311" s="79">
        <f>PRODUCT(SEMANAL!$B$54,N$308)/1000</f>
        <v>10.3</v>
      </c>
      <c r="O311" s="21">
        <f>SUM('OC CAR y PAN AZUL 2'!B42:N42)</f>
        <v>74</v>
      </c>
      <c r="P311" s="1">
        <v>9500</v>
      </c>
      <c r="Q311" s="1">
        <f t="shared" si="13"/>
        <v>703000</v>
      </c>
      <c r="R311" s="20"/>
      <c r="S311" s="20"/>
      <c r="T311" s="21"/>
      <c r="U311" s="1"/>
      <c r="V311" s="1"/>
      <c r="W311" s="1"/>
      <c r="X311" s="1"/>
      <c r="Y311" s="2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 t="s">
        <v>33</v>
      </c>
      <c r="Q312" s="1">
        <f>SUM(Q309:Q311)</f>
        <v>1874600</v>
      </c>
      <c r="R312" s="33"/>
      <c r="S312" s="33"/>
      <c r="T312" s="1"/>
      <c r="U312" s="1"/>
      <c r="V312" s="1"/>
      <c r="W312" s="1"/>
      <c r="X312" s="21"/>
      <c r="Y312" s="21"/>
      <c r="Z312" s="1"/>
    </row>
    <row r="313" spans="1:26" ht="14.25" customHeight="1">
      <c r="A313" s="1"/>
      <c r="B313" s="26" t="s">
        <v>73</v>
      </c>
      <c r="C313" s="26" t="s">
        <v>74</v>
      </c>
      <c r="D313" s="26" t="s">
        <v>75</v>
      </c>
      <c r="E313" s="26" t="s">
        <v>76</v>
      </c>
      <c r="F313" s="26" t="s">
        <v>77</v>
      </c>
      <c r="G313" s="26" t="s">
        <v>78</v>
      </c>
      <c r="H313" s="26" t="s">
        <v>79</v>
      </c>
      <c r="I313" s="26" t="s">
        <v>80</v>
      </c>
      <c r="J313" s="26" t="s">
        <v>81</v>
      </c>
      <c r="K313" s="26" t="s">
        <v>82</v>
      </c>
      <c r="L313" s="26" t="s">
        <v>83</v>
      </c>
      <c r="M313" s="26" t="s">
        <v>84</v>
      </c>
      <c r="N313" s="27" t="s">
        <v>85</v>
      </c>
      <c r="O313" s="26" t="s">
        <v>86</v>
      </c>
      <c r="P313" s="26" t="s">
        <v>87</v>
      </c>
      <c r="Q313" s="26" t="s">
        <v>88</v>
      </c>
      <c r="R313" s="33"/>
      <c r="S313" s="33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9">
        <v>160</v>
      </c>
      <c r="C314" s="19">
        <v>80</v>
      </c>
      <c r="D314" s="19">
        <v>156</v>
      </c>
      <c r="E314" s="19">
        <v>97</v>
      </c>
      <c r="F314" s="19">
        <v>2</v>
      </c>
      <c r="G314" s="19">
        <v>78</v>
      </c>
      <c r="H314" s="19">
        <v>69</v>
      </c>
      <c r="I314" s="19">
        <v>61</v>
      </c>
      <c r="J314" s="19">
        <v>131</v>
      </c>
      <c r="K314" s="19">
        <v>75</v>
      </c>
      <c r="L314" s="19">
        <v>66</v>
      </c>
      <c r="M314" s="19">
        <v>80</v>
      </c>
      <c r="N314" s="19">
        <v>71</v>
      </c>
      <c r="O314" s="19">
        <v>69</v>
      </c>
      <c r="P314" s="19">
        <v>42</v>
      </c>
      <c r="Q314" s="45">
        <v>70</v>
      </c>
      <c r="R314" s="1"/>
      <c r="S314" s="1"/>
      <c r="T314" s="1"/>
      <c r="U314" s="1"/>
      <c r="V314" s="1"/>
      <c r="W314" s="1"/>
      <c r="X314" s="21"/>
      <c r="Y314" s="21"/>
      <c r="Z314" s="1"/>
    </row>
    <row r="315" spans="1:26" ht="14.25" customHeight="1">
      <c r="A315" s="1"/>
      <c r="B315" s="19">
        <v>0</v>
      </c>
      <c r="C315" s="19">
        <v>0</v>
      </c>
      <c r="D315" s="19">
        <v>0</v>
      </c>
      <c r="E315" s="19">
        <v>0</v>
      </c>
      <c r="F315" s="19">
        <v>0</v>
      </c>
      <c r="G315" s="19">
        <v>0</v>
      </c>
      <c r="H315" s="19">
        <v>0</v>
      </c>
      <c r="I315" s="19">
        <v>0</v>
      </c>
      <c r="J315" s="19">
        <v>40</v>
      </c>
      <c r="K315" s="19">
        <v>0</v>
      </c>
      <c r="L315" s="19">
        <v>0</v>
      </c>
      <c r="M315" s="19">
        <v>0</v>
      </c>
      <c r="N315" s="19">
        <v>0</v>
      </c>
      <c r="O315" s="19">
        <v>0</v>
      </c>
      <c r="P315" s="19">
        <v>0</v>
      </c>
      <c r="Q315" s="147">
        <v>0</v>
      </c>
      <c r="S315" s="1" t="s">
        <v>18</v>
      </c>
      <c r="T315" s="1" t="s">
        <v>19</v>
      </c>
      <c r="U315" s="1"/>
      <c r="V315" s="1"/>
      <c r="W315" s="1"/>
      <c r="X315" s="1"/>
      <c r="Y315" s="1"/>
      <c r="Z315" s="1"/>
    </row>
    <row r="316" spans="1:26" ht="14.25" customHeight="1">
      <c r="A316" s="78" t="s">
        <v>170</v>
      </c>
      <c r="B316" s="79">
        <f>PRODUCT(SEMANAL!$B$52,B$315)/1000</f>
        <v>0</v>
      </c>
      <c r="C316" s="79">
        <f>PRODUCT(SEMANAL!$B$52,C$315)/1000</f>
        <v>0</v>
      </c>
      <c r="D316" s="79">
        <f>PRODUCT(SEMANAL!$B$52,D$315)/1000</f>
        <v>0</v>
      </c>
      <c r="E316" s="79">
        <f>PRODUCT(SEMANAL!$B$52,E$315)/1000</f>
        <v>0</v>
      </c>
      <c r="F316" s="79">
        <f>PRODUCT(SEMANAL!$B$52,F$315)/1000</f>
        <v>0</v>
      </c>
      <c r="G316" s="79">
        <f>PRODUCT(SEMANAL!$B$52,G$315)/1000</f>
        <v>0</v>
      </c>
      <c r="H316" s="79">
        <f>PRODUCT(SEMANAL!$B$52,H$315)/1000</f>
        <v>0</v>
      </c>
      <c r="I316" s="79">
        <f>PRODUCT(SEMANAL!$B$52,I$315)/1000</f>
        <v>0</v>
      </c>
      <c r="J316" s="79">
        <f>PRODUCT(SEMANAL!$B$52,J$315)/1000</f>
        <v>4</v>
      </c>
      <c r="K316" s="79">
        <f>PRODUCT(SEMANAL!$B$52,K$315)/1000</f>
        <v>0</v>
      </c>
      <c r="L316" s="79">
        <f>PRODUCT(SEMANAL!$B$52,L$315)/1000</f>
        <v>0</v>
      </c>
      <c r="M316" s="79">
        <f>PRODUCT(SEMANAL!$B$52,M$315)/1000</f>
        <v>0</v>
      </c>
      <c r="N316" s="79">
        <f>PRODUCT(SEMANAL!$B$52,N$315)/1000</f>
        <v>0</v>
      </c>
      <c r="O316" s="79">
        <f>PRODUCT(SEMANAL!$B$52,O$315)/1000</f>
        <v>0</v>
      </c>
      <c r="P316" s="79">
        <f>PRODUCT(SEMANAL!$B$52,P$315)/1000</f>
        <v>0</v>
      </c>
      <c r="Q316" s="79">
        <f>PRODUCT(SEMANAL!$B$52,Q$315)/1000</f>
        <v>0</v>
      </c>
      <c r="R316" s="1">
        <f>SUM('OC CAR y PAN AZUL 2'!B47:Q47)</f>
        <v>4</v>
      </c>
      <c r="S316" s="1">
        <v>8400</v>
      </c>
      <c r="T316" s="62">
        <f t="shared" ref="T316:T318" si="14">PRODUCT(R316:S316)</f>
        <v>33600</v>
      </c>
      <c r="U316" s="1"/>
      <c r="V316" s="1"/>
      <c r="W316" s="1"/>
      <c r="X316" s="1"/>
      <c r="Y316" s="1"/>
      <c r="Z316" s="1"/>
    </row>
    <row r="317" spans="1:26" ht="14.25" customHeight="1">
      <c r="A317" s="18" t="s">
        <v>171</v>
      </c>
      <c r="B317" s="79">
        <f>PRODUCT(SEMANAL!$B$53,B$315)/1000*1.68</f>
        <v>0</v>
      </c>
      <c r="C317" s="79">
        <f>PRODUCT(SEMANAL!$B$53,C$315)/1000*1.68</f>
        <v>0</v>
      </c>
      <c r="D317" s="79">
        <f>PRODUCT(SEMANAL!$B$53,D$315)/1000*1.68</f>
        <v>0</v>
      </c>
      <c r="E317" s="79">
        <f>PRODUCT(SEMANAL!$B$53,E$315)/1000*1.68</f>
        <v>0</v>
      </c>
      <c r="F317" s="79">
        <f>PRODUCT(SEMANAL!$B$53,F$315)/1000*1.68</f>
        <v>0</v>
      </c>
      <c r="G317" s="79">
        <f>PRODUCT(SEMANAL!$B$53,G$315)/1000*1.68</f>
        <v>0</v>
      </c>
      <c r="H317" s="79">
        <f>PRODUCT(SEMANAL!$B$53,H$315)/1000*1.68</f>
        <v>0</v>
      </c>
      <c r="I317" s="79">
        <f>PRODUCT(SEMANAL!$B$53,I$315)/1000*1.68</f>
        <v>0</v>
      </c>
      <c r="J317" s="79">
        <f>PRODUCT(SEMANAL!$B$53,J$315)/1000*1.68</f>
        <v>5.3760000000000003</v>
      </c>
      <c r="K317" s="79">
        <f>PRODUCT(SEMANAL!$B$53,K$315)/1000*1.68</f>
        <v>0</v>
      </c>
      <c r="L317" s="79">
        <f>PRODUCT(SEMANAL!$B$53,L$315)/1000*1.68</f>
        <v>0</v>
      </c>
      <c r="M317" s="79">
        <f>PRODUCT(SEMANAL!$B$53,M$315)/1000*1.68</f>
        <v>0</v>
      </c>
      <c r="N317" s="79">
        <f>PRODUCT(SEMANAL!$B$53,N$315)/1000*1.68</f>
        <v>0</v>
      </c>
      <c r="O317" s="79">
        <f>PRODUCT(SEMANAL!$B$53,O$315)/1000*1.68</f>
        <v>0</v>
      </c>
      <c r="P317" s="79">
        <f>PRODUCT(SEMANAL!$B$53,P$315)/1000*1.68</f>
        <v>0</v>
      </c>
      <c r="Q317" s="79">
        <f>PRODUCT(SEMANAL!$B$53,Q$315)/1000*1.68</f>
        <v>0</v>
      </c>
      <c r="R317" s="1">
        <f>SUM('OC CAR y PAN AZUL 2'!B48:Q48)</f>
        <v>6</v>
      </c>
      <c r="S317" s="1">
        <v>5500</v>
      </c>
      <c r="T317" s="62">
        <f t="shared" si="14"/>
        <v>33000</v>
      </c>
      <c r="U317" s="1"/>
      <c r="V317" s="1"/>
      <c r="W317" s="1"/>
      <c r="X317" s="1"/>
      <c r="Y317" s="1"/>
      <c r="Z317" s="1"/>
    </row>
    <row r="318" spans="1:26" ht="14.25" customHeight="1">
      <c r="A318" s="78" t="s">
        <v>172</v>
      </c>
      <c r="B318" s="79">
        <f>PRODUCT(SEMANAL!$B$54,B$315)/1000</f>
        <v>0</v>
      </c>
      <c r="C318" s="79">
        <f>PRODUCT(SEMANAL!$B$54,C$315)/1000</f>
        <v>0</v>
      </c>
      <c r="D318" s="79">
        <f>PRODUCT(SEMANAL!$B$54,D$315)/1000</f>
        <v>0</v>
      </c>
      <c r="E318" s="79">
        <f>PRODUCT(SEMANAL!$B$54,E$315)/1000</f>
        <v>0</v>
      </c>
      <c r="F318" s="79">
        <f>PRODUCT(SEMANAL!$B$54,F$315)/1000</f>
        <v>0</v>
      </c>
      <c r="G318" s="79">
        <f>PRODUCT(SEMANAL!$B$54,G$315)/1000</f>
        <v>0</v>
      </c>
      <c r="H318" s="79">
        <f>PRODUCT(SEMANAL!$B$54,H$315)/1000</f>
        <v>0</v>
      </c>
      <c r="I318" s="79">
        <f>PRODUCT(SEMANAL!$B$54,I$315)/1000</f>
        <v>0</v>
      </c>
      <c r="J318" s="79">
        <f>PRODUCT(SEMANAL!$B$54,J$315)/1000</f>
        <v>4</v>
      </c>
      <c r="K318" s="79">
        <f>PRODUCT(SEMANAL!$B$54,K$315)/1000</f>
        <v>0</v>
      </c>
      <c r="L318" s="79">
        <f>PRODUCT(SEMANAL!$B$54,L$315)/1000</f>
        <v>0</v>
      </c>
      <c r="M318" s="79">
        <f>PRODUCT(SEMANAL!$B$54,M$315)/1000</f>
        <v>0</v>
      </c>
      <c r="N318" s="79">
        <f>PRODUCT(SEMANAL!$B$54,N$315)/1000</f>
        <v>0</v>
      </c>
      <c r="O318" s="79">
        <f>PRODUCT(SEMANAL!$B$54,O$315)/1000</f>
        <v>0</v>
      </c>
      <c r="P318" s="79">
        <f>PRODUCT(SEMANAL!$B$54,P$315)/1000</f>
        <v>0</v>
      </c>
      <c r="Q318" s="79">
        <f>PRODUCT(SEMANAL!$B$54,Q$315)/1000</f>
        <v>0</v>
      </c>
      <c r="R318" s="1">
        <f>SUM('OC CAR y PAN AZUL 2'!B49:Q49)</f>
        <v>4</v>
      </c>
      <c r="S318" s="80">
        <v>9500</v>
      </c>
      <c r="T318" s="62">
        <f t="shared" si="14"/>
        <v>38000</v>
      </c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S319" s="1" t="s">
        <v>33</v>
      </c>
      <c r="T319" s="1">
        <f>SUM(T316:T318)</f>
        <v>104600</v>
      </c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 t="s">
        <v>174</v>
      </c>
      <c r="I320" s="1"/>
      <c r="J320" s="1"/>
      <c r="K320" s="1"/>
      <c r="L320" s="1"/>
      <c r="M320" s="1"/>
      <c r="N320" s="1"/>
      <c r="O320" s="1"/>
      <c r="P320" s="1"/>
      <c r="Q320" s="1"/>
      <c r="R320" s="35"/>
      <c r="S320" s="1" t="s">
        <v>175</v>
      </c>
      <c r="T320" s="1">
        <f>SUM(Q289+Q296+Q304+Q312+T319)</f>
        <v>4861300</v>
      </c>
      <c r="U320" s="1"/>
      <c r="V320" s="1"/>
      <c r="W320" s="1"/>
      <c r="X320" s="1"/>
      <c r="Y320" s="1"/>
      <c r="Z320" s="1"/>
    </row>
    <row r="321" spans="1:26" ht="14.25" customHeight="1">
      <c r="A321" s="12" t="s">
        <v>176</v>
      </c>
      <c r="B321" s="1"/>
      <c r="C321" s="1"/>
      <c r="D321" s="1"/>
      <c r="E321" s="1"/>
      <c r="F321" s="1"/>
      <c r="G321" s="1"/>
      <c r="H321" s="1" t="s">
        <v>177</v>
      </c>
      <c r="I321" s="1"/>
      <c r="J321" s="1"/>
      <c r="K321" s="1"/>
      <c r="L321" s="1"/>
      <c r="M321" s="1"/>
      <c r="N321" s="1"/>
      <c r="O321" s="1"/>
      <c r="P321" s="1"/>
      <c r="Q321" s="1"/>
      <c r="R321" s="35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2" t="s">
        <v>178</v>
      </c>
      <c r="B322" s="1"/>
      <c r="C322" s="1"/>
      <c r="D322" s="1"/>
      <c r="E322" s="1"/>
      <c r="F322" s="1"/>
      <c r="G322" s="1"/>
      <c r="H322" s="1" t="s">
        <v>179</v>
      </c>
      <c r="I322" s="1"/>
      <c r="J322" s="1"/>
      <c r="K322" s="1"/>
      <c r="L322" s="1"/>
      <c r="M322" s="1"/>
      <c r="N322" s="1"/>
      <c r="O322" s="1"/>
      <c r="P322" s="1"/>
      <c r="Q322" s="1"/>
      <c r="R322" s="35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 t="s">
        <v>180</v>
      </c>
      <c r="I323" s="1"/>
      <c r="J323" s="1"/>
      <c r="K323" s="1"/>
      <c r="L323" s="1"/>
      <c r="M323" s="1"/>
      <c r="N323" s="1"/>
      <c r="O323" s="1"/>
      <c r="P323" s="1"/>
      <c r="Q323" s="1"/>
      <c r="R323" s="35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36" t="s">
        <v>5</v>
      </c>
      <c r="C324" s="56" t="s">
        <v>6</v>
      </c>
      <c r="D324" s="36" t="s">
        <v>7</v>
      </c>
      <c r="E324" s="36" t="s">
        <v>8</v>
      </c>
      <c r="F324" s="36" t="s">
        <v>9</v>
      </c>
      <c r="G324" s="36" t="s">
        <v>10</v>
      </c>
      <c r="H324" s="36" t="s">
        <v>11</v>
      </c>
      <c r="I324" s="36" t="s">
        <v>12</v>
      </c>
      <c r="J324" s="36" t="s">
        <v>13</v>
      </c>
      <c r="K324" s="36" t="s">
        <v>14</v>
      </c>
      <c r="L324" s="57" t="s">
        <v>15</v>
      </c>
      <c r="M324" s="58" t="s">
        <v>16</v>
      </c>
      <c r="N324" s="58" t="s">
        <v>17</v>
      </c>
      <c r="O324" s="1"/>
      <c r="P324" s="1"/>
      <c r="Q324" s="1"/>
      <c r="R324" s="35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9">
        <v>94</v>
      </c>
      <c r="C325" s="19">
        <v>101</v>
      </c>
      <c r="D325" s="19">
        <v>6</v>
      </c>
      <c r="E325" s="19">
        <v>164</v>
      </c>
      <c r="F325" s="19">
        <v>90</v>
      </c>
      <c r="G325" s="19">
        <v>28</v>
      </c>
      <c r="H325" s="19">
        <v>27</v>
      </c>
      <c r="I325" s="19">
        <v>71</v>
      </c>
      <c r="J325" s="19">
        <v>148</v>
      </c>
      <c r="K325" s="19">
        <v>86</v>
      </c>
      <c r="L325" s="19">
        <v>92</v>
      </c>
      <c r="M325" s="19">
        <v>13</v>
      </c>
      <c r="N325" s="19">
        <v>22</v>
      </c>
      <c r="O325" s="1"/>
      <c r="P325" s="1"/>
      <c r="Q325" s="1"/>
      <c r="R325" s="35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9">
        <v>47</v>
      </c>
      <c r="C326" s="19">
        <v>0</v>
      </c>
      <c r="D326" s="19">
        <v>3</v>
      </c>
      <c r="E326" s="19">
        <v>82</v>
      </c>
      <c r="F326" s="19">
        <v>0</v>
      </c>
      <c r="G326" s="19">
        <v>14</v>
      </c>
      <c r="H326" s="19">
        <v>0</v>
      </c>
      <c r="I326" s="19">
        <v>0</v>
      </c>
      <c r="J326" s="19">
        <v>87</v>
      </c>
      <c r="K326" s="19">
        <v>43</v>
      </c>
      <c r="L326" s="19">
        <v>56</v>
      </c>
      <c r="M326" s="19">
        <v>0</v>
      </c>
      <c r="N326" s="19">
        <v>10</v>
      </c>
      <c r="O326" s="1"/>
      <c r="P326" s="1" t="s">
        <v>18</v>
      </c>
      <c r="Q326" s="1" t="s">
        <v>181</v>
      </c>
      <c r="R326" s="35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78" t="s">
        <v>182</v>
      </c>
      <c r="B327" s="70">
        <f>PRODUCT(SEMANAL!$E$60,B$325)/1000+PRODUCT(SEMANAL!$C$60,B$326)/1000</f>
        <v>4.7</v>
      </c>
      <c r="C327" s="70">
        <f>PRODUCT(SEMANAL!$E60,C$325)/1000+PRODUCT(SEMANAL!$C60,C$326)/1000</f>
        <v>5.05</v>
      </c>
      <c r="D327" s="70">
        <f>PRODUCT(SEMANAL!$E60,D$325)/1000+PRODUCT(SEMANAL!$C60,D$326)/1000</f>
        <v>0.3</v>
      </c>
      <c r="E327" s="70">
        <f>PRODUCT(SEMANAL!$E$60,E$325)/1000+PRODUCT(SEMANAL!$C$60,E$326)/1000</f>
        <v>8.1999999999999993</v>
      </c>
      <c r="F327" s="70">
        <f>PRODUCT(SEMANAL!$E$60,F$325)/1000+PRODUCT(SEMANAL!$C$60,F$326)/1000</f>
        <v>4.5</v>
      </c>
      <c r="G327" s="70">
        <f>PRODUCT(SEMANAL!$E$60,G$325)/1000+PRODUCT(SEMANAL!$C$60,G$326)/1000</f>
        <v>1.4</v>
      </c>
      <c r="H327" s="70">
        <f>PRODUCT(SEMANAL!$E$60,H$325)/1000+PRODUCT(SEMANAL!$C$60,H$326)/1000</f>
        <v>1.35</v>
      </c>
      <c r="I327" s="70">
        <f>PRODUCT(SEMANAL!$E$60,I$325)/1000+PRODUCT(SEMANAL!$C$60,I$326)/1000</f>
        <v>3.55</v>
      </c>
      <c r="J327" s="70">
        <f>PRODUCT(SEMANAL!$E$60,J$325)/1000+PRODUCT(SEMANAL!$C$60,J$326)/1000</f>
        <v>7.4</v>
      </c>
      <c r="K327" s="70">
        <f>PRODUCT(SEMANAL!$E$60,K$325)/1000+PRODUCT(SEMANAL!$C$60,K$326)/1000</f>
        <v>4.3</v>
      </c>
      <c r="L327" s="70">
        <f>PRODUCT(SEMANAL!$E$60,L$325)/1000+PRODUCT(SEMANAL!$C$60,L$326)/1000</f>
        <v>4.5999999999999996</v>
      </c>
      <c r="M327" s="70">
        <f>PRODUCT(SEMANAL!$E$60,M$325)/1000+PRODUCT(SEMANAL!$C$60,M$326)/1000</f>
        <v>0.65</v>
      </c>
      <c r="N327" s="70">
        <f>PRODUCT(SEMANAL!$E$60,N$325)/1000+PRODUCT(SEMANAL!$C$60,N$326)/1000</f>
        <v>1.1000000000000001</v>
      </c>
      <c r="O327" s="21">
        <f>SUM('OC CAR y PAN AZUL 2'!B58:N58)</f>
        <v>53</v>
      </c>
      <c r="P327" s="1">
        <v>3800</v>
      </c>
      <c r="Q327" s="1">
        <f t="shared" ref="Q327:Q332" si="15">PRODUCT(O327:P327)</f>
        <v>201400</v>
      </c>
      <c r="R327" s="35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78" t="s">
        <v>183</v>
      </c>
      <c r="B328" s="70">
        <f>PRODUCT(SEMANAL!E61,$B$325)/1000+PRODUCT(SEMANAL!C61,$B$326)/1000</f>
        <v>4.7</v>
      </c>
      <c r="C328" s="70">
        <f>PRODUCT(SEMANAL!$E61,C$325)/1000+PRODUCT(SEMANAL!$C61,C$326)/1000</f>
        <v>5.05</v>
      </c>
      <c r="D328" s="70">
        <f>PRODUCT(SEMANAL!$E$61,D$325)/1000+PRODUCT(SEMANAL!$C$61,D$326)/1000</f>
        <v>0.3</v>
      </c>
      <c r="E328" s="70">
        <f>PRODUCT(SEMANAL!$E$61,E$325)/1000+PRODUCT(SEMANAL!$C$61,E$326)/1000</f>
        <v>8.1999999999999993</v>
      </c>
      <c r="F328" s="70">
        <f>PRODUCT(SEMANAL!$E$61,F$325)/1000+PRODUCT(SEMANAL!$C$61,F$326)/1000</f>
        <v>4.5</v>
      </c>
      <c r="G328" s="70">
        <f>PRODUCT(SEMANAL!$E$61,G$325)/1000+PRODUCT(SEMANAL!$C$61,G$326)/1000</f>
        <v>1.4</v>
      </c>
      <c r="H328" s="70">
        <f>PRODUCT(SEMANAL!$E$61,H$325)/1000+PRODUCT(SEMANAL!$C$61,H$326)/1000</f>
        <v>1.35</v>
      </c>
      <c r="I328" s="70">
        <f>PRODUCT(SEMANAL!$E$61,I$325)/1000+PRODUCT(SEMANAL!$C$61,I$326)/1000</f>
        <v>3.55</v>
      </c>
      <c r="J328" s="70">
        <f>PRODUCT(SEMANAL!$E$61,J$325)/1000+PRODUCT(SEMANAL!$C$61,J$326)/1000</f>
        <v>7.4</v>
      </c>
      <c r="K328" s="70">
        <f>PRODUCT(SEMANAL!$E$61,K$325)/1000+PRODUCT(SEMANAL!$C$61,K$326)/1000</f>
        <v>4.3</v>
      </c>
      <c r="L328" s="70">
        <f>PRODUCT(SEMANAL!$E$61,L$325)/1000+PRODUCT(SEMANAL!$C$61,L$326)/1000</f>
        <v>4.5999999999999996</v>
      </c>
      <c r="M328" s="70">
        <f>PRODUCT(SEMANAL!$E$61,M$325)/1000+PRODUCT(SEMANAL!$C$61,M$326)/1000</f>
        <v>0.65</v>
      </c>
      <c r="N328" s="70">
        <f>PRODUCT(SEMANAL!$E$61,N$325)/1000+PRODUCT(SEMANAL!$C$61,N$326)/1000</f>
        <v>1.1000000000000001</v>
      </c>
      <c r="O328" s="21">
        <f>SUM('OC CAR y PAN AZUL 2'!B59:N59)</f>
        <v>52</v>
      </c>
      <c r="P328" s="1">
        <v>3800</v>
      </c>
      <c r="Q328" s="1">
        <f t="shared" si="15"/>
        <v>197600</v>
      </c>
      <c r="R328" s="35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78" t="s">
        <v>184</v>
      </c>
      <c r="B329" s="70">
        <f>PRODUCT(SEMANAL!E62,$B$325)/1000+PRODUCT(SEMANAL!C62,$B$326)/1000</f>
        <v>4.7</v>
      </c>
      <c r="C329" s="70">
        <f>PRODUCT(SEMANAL!$E62,C$325)/1000+PRODUCT(SEMANAL!$C62,C$326)/1000</f>
        <v>5.05</v>
      </c>
      <c r="D329" s="70">
        <f>PRODUCT(SEMANAL!$E$62,D$325)/1000+PRODUCT(SEMANAL!$C$62,D$326)/1000</f>
        <v>0.3</v>
      </c>
      <c r="E329" s="70">
        <f>PRODUCT(SEMANAL!$E$62,E$325)/1000+PRODUCT(SEMANAL!$C$62,E$326)/1000</f>
        <v>8.1999999999999993</v>
      </c>
      <c r="F329" s="70">
        <f>PRODUCT(SEMANAL!$E$62,F$325)/1000+PRODUCT(SEMANAL!$C$62,F$326)/1000</f>
        <v>4.5</v>
      </c>
      <c r="G329" s="70">
        <f>PRODUCT(SEMANAL!$E$62,G$325)/1000+PRODUCT(SEMANAL!$C$62,G$326)/1000</f>
        <v>1.4</v>
      </c>
      <c r="H329" s="70">
        <f>PRODUCT(SEMANAL!$E$62,H$325)/1000+PRODUCT(SEMANAL!$C$62,H$326)/1000</f>
        <v>1.35</v>
      </c>
      <c r="I329" s="70">
        <f>PRODUCT(SEMANAL!$E$62,I$325)/1000+PRODUCT(SEMANAL!$C$62,I$326)/1000</f>
        <v>3.55</v>
      </c>
      <c r="J329" s="70">
        <f>PRODUCT(SEMANAL!$E$62,J$325)/1000+PRODUCT(SEMANAL!$C$62,J$326)/1000</f>
        <v>7.4</v>
      </c>
      <c r="K329" s="70">
        <f>PRODUCT(SEMANAL!$E$62,K$325)/1000+PRODUCT(SEMANAL!$C$62,K$326)/1000</f>
        <v>4.3</v>
      </c>
      <c r="L329" s="70">
        <f>PRODUCT(SEMANAL!$E$62,L$325)/1000+PRODUCT(SEMANAL!$C$62,L$326)/1000</f>
        <v>4.5999999999999996</v>
      </c>
      <c r="M329" s="70">
        <f>PRODUCT(SEMANAL!$E$62,M$325)/1000+PRODUCT(SEMANAL!$C$62,M$326)/1000</f>
        <v>0.65</v>
      </c>
      <c r="N329" s="70">
        <f>PRODUCT(SEMANAL!$E$62,N$325)/1000+PRODUCT(SEMANAL!$C$62,N$326)/1000</f>
        <v>1.1000000000000001</v>
      </c>
      <c r="O329" s="21">
        <f>SUM('OC CAR y PAN AZUL 2'!B60:N60)</f>
        <v>53</v>
      </c>
      <c r="P329" s="1">
        <v>3800</v>
      </c>
      <c r="Q329" s="1">
        <f t="shared" si="15"/>
        <v>201400</v>
      </c>
      <c r="R329" s="35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81" t="s">
        <v>185</v>
      </c>
      <c r="B330" s="70">
        <f>PRODUCT(SEMANAL!E63,$B$325)/1000+PRODUCT(SEMANAL!C63,$B$326)/1000</f>
        <v>4.7</v>
      </c>
      <c r="C330" s="70">
        <f>PRODUCT(SEMANAL!$E63,C$325)/1000+PRODUCT(SEMANAL!$C63,C$326)/1000</f>
        <v>5.05</v>
      </c>
      <c r="D330" s="70">
        <f>PRODUCT(SEMANAL!$E$63,D$325)/1000+PRODUCT(SEMANAL!$C$63,D$326)/1000</f>
        <v>0.3</v>
      </c>
      <c r="E330" s="70">
        <f>PRODUCT(SEMANAL!$E$63,E$325)/1000+PRODUCT(SEMANAL!$C$63,E$326)/1000</f>
        <v>8.1999999999999993</v>
      </c>
      <c r="F330" s="70">
        <f>PRODUCT(SEMANAL!$E$63,F$325)/1000+PRODUCT(SEMANAL!$C$63,F$326)/1000</f>
        <v>4.5</v>
      </c>
      <c r="G330" s="70">
        <f>PRODUCT(SEMANAL!$E$63,G$325)/1000+PRODUCT(SEMANAL!$C$63,G$326)/1000</f>
        <v>1.4</v>
      </c>
      <c r="H330" s="70">
        <f>PRODUCT(SEMANAL!$E$63,H$325)/1000+PRODUCT(SEMANAL!$C$63,H$326)/1000</f>
        <v>1.35</v>
      </c>
      <c r="I330" s="70">
        <f>PRODUCT(SEMANAL!$E$63,I$325)/1000+PRODUCT(SEMANAL!$C$63,I$326)/1000</f>
        <v>3.55</v>
      </c>
      <c r="J330" s="70">
        <f>PRODUCT(SEMANAL!$E$63,J$325)/1000+PRODUCT(SEMANAL!$C$63,J$326)/1000</f>
        <v>7.4</v>
      </c>
      <c r="K330" s="70">
        <f>PRODUCT(SEMANAL!$E$63,K$325)/1000+PRODUCT(SEMANAL!$C$63,K$326)/1000</f>
        <v>4.3</v>
      </c>
      <c r="L330" s="70">
        <f>PRODUCT(SEMANAL!$E$63,L$325)/1000+PRODUCT(SEMANAL!$C$63,L$326)/1000</f>
        <v>4.5999999999999996</v>
      </c>
      <c r="M330" s="70">
        <f>PRODUCT(SEMANAL!$E$63,M$325)/1000+PRODUCT(SEMANAL!$C$63,M$326)/1000</f>
        <v>0.65</v>
      </c>
      <c r="N330" s="70">
        <f>PRODUCT(SEMANAL!$E$63,N$325)/1000+PRODUCT(SEMANAL!$C$63,N$326)/1000</f>
        <v>1.1000000000000001</v>
      </c>
      <c r="O330" s="21">
        <f>SUM('OC CAR y PAN AZUL 2'!B61:N61)</f>
        <v>52</v>
      </c>
      <c r="P330" s="1">
        <v>3800</v>
      </c>
      <c r="Q330" s="1">
        <f t="shared" si="15"/>
        <v>197600</v>
      </c>
      <c r="R330" s="35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81" t="s">
        <v>186</v>
      </c>
      <c r="B331" s="70">
        <f>PRODUCT(SEMANAL!E64,$B$325)/1000+PRODUCT(SEMANAL!C64,$B$326)/1000</f>
        <v>4.7</v>
      </c>
      <c r="C331" s="70">
        <f>PRODUCT(SEMANAL!$E64,C$325)/1000+PRODUCT(SEMANAL!$C64,C$326)/1000</f>
        <v>5.05</v>
      </c>
      <c r="D331" s="70">
        <f>PRODUCT(SEMANAL!$E$64,D$325)/1000+PRODUCT(SEMANAL!$C$64,D$326)/1000</f>
        <v>0.3</v>
      </c>
      <c r="E331" s="70">
        <f>PRODUCT(SEMANAL!$E$64,E$325)/1000+PRODUCT(SEMANAL!$C$64,E$326)/1000</f>
        <v>8.1999999999999993</v>
      </c>
      <c r="F331" s="70">
        <f>PRODUCT(SEMANAL!$E$64,F$325)/1000+PRODUCT(SEMANAL!$C$64,F$326)/1000</f>
        <v>4.5</v>
      </c>
      <c r="G331" s="70">
        <f>PRODUCT(SEMANAL!$E$64,G$325)/1000+PRODUCT(SEMANAL!$C$64,G$326)/1000</f>
        <v>1.4</v>
      </c>
      <c r="H331" s="70">
        <f>PRODUCT(SEMANAL!$E$64,H$325)/1000+PRODUCT(SEMANAL!$C$64,H$326)/1000</f>
        <v>1.35</v>
      </c>
      <c r="I331" s="70">
        <f>PRODUCT(SEMANAL!$E$64,I$325)/1000+PRODUCT(SEMANAL!$C$64,I$326)/1000</f>
        <v>3.55</v>
      </c>
      <c r="J331" s="70">
        <f>PRODUCT(SEMANAL!$E$64,J$325)/1000+PRODUCT(SEMANAL!$C$64,J$326)/1000</f>
        <v>7.4</v>
      </c>
      <c r="K331" s="70">
        <f>PRODUCT(SEMANAL!$E$64,K$325)/1000+PRODUCT(SEMANAL!$C$64,K$326)/1000</f>
        <v>4.3</v>
      </c>
      <c r="L331" s="70">
        <f>PRODUCT(SEMANAL!$E$64,L$325)/1000+PRODUCT(SEMANAL!$C$64,L$326)/1000</f>
        <v>4.5999999999999996</v>
      </c>
      <c r="M331" s="70">
        <f>PRODUCT(SEMANAL!$E$64,M$325)/1000+PRODUCT(SEMANAL!$C$64,M$326)/1000</f>
        <v>0.65</v>
      </c>
      <c r="N331" s="70">
        <f>PRODUCT(SEMANAL!$E$64,N$325)/1000+PRODUCT(SEMANAL!$C$64,N$326)/1000</f>
        <v>1.1000000000000001</v>
      </c>
      <c r="O331" s="21">
        <f>SUM('OC CAR y PAN AZUL 2'!B62:N62)</f>
        <v>53</v>
      </c>
      <c r="P331" s="1">
        <v>3800</v>
      </c>
      <c r="Q331" s="1">
        <f t="shared" si="15"/>
        <v>201400</v>
      </c>
      <c r="R331" s="35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81" t="s">
        <v>187</v>
      </c>
      <c r="B332" s="70">
        <f>PRODUCT(SEMANAL!E65,$B$325)/1000+PRODUCT(SEMANAL!C65,$B$326)/1000</f>
        <v>0</v>
      </c>
      <c r="C332" s="70">
        <f>PRODUCT(SEMANAL!$E65,C$325)/1000+PRODUCT(SEMANAL!$C65,C$326)/1000</f>
        <v>0</v>
      </c>
      <c r="D332" s="70">
        <f>PRODUCT(SEMANAL!$E$65,D$325)/1000+PRODUCT(SEMANAL!$C$65,D$326)/1000</f>
        <v>0</v>
      </c>
      <c r="E332" s="70">
        <f>PRODUCT(SEMANAL!$E$65,E$325)/1000+PRODUCT(SEMANAL!$C$65,E$326)/1000</f>
        <v>0</v>
      </c>
      <c r="F332" s="70">
        <f>PRODUCT(SEMANAL!$E$65,F$325)/1000+PRODUCT(SEMANAL!$C$65,F$326)/1000</f>
        <v>0</v>
      </c>
      <c r="G332" s="70">
        <f>PRODUCT(SEMANAL!$E$65,G$325)/1000+PRODUCT(SEMANAL!$C$65,G$326)/1000</f>
        <v>0</v>
      </c>
      <c r="H332" s="70">
        <f>PRODUCT(SEMANAL!$E$65,H$325)/1000+PRODUCT(SEMANAL!$C$65,H$326)/1000</f>
        <v>0</v>
      </c>
      <c r="I332" s="70">
        <f>PRODUCT(SEMANAL!$E$65,I$325)/1000+PRODUCT(SEMANAL!$C$65,I$326)/1000</f>
        <v>0</v>
      </c>
      <c r="J332" s="70">
        <f>PRODUCT(SEMANAL!$E$65,J$325)/1000+PRODUCT(SEMANAL!$C$65,J$326)/1000</f>
        <v>0</v>
      </c>
      <c r="K332" s="70">
        <f>PRODUCT(SEMANAL!$E$65,K$325)/1000+PRODUCT(SEMANAL!$C$65,K$326)/1000</f>
        <v>0</v>
      </c>
      <c r="L332" s="70">
        <f>PRODUCT(SEMANAL!$E$65,L$325)/1000+PRODUCT(SEMANAL!$C$65,L$326)/1000</f>
        <v>0</v>
      </c>
      <c r="M332" s="70">
        <f>PRODUCT(SEMANAL!$E$65,M$325)/1000+PRODUCT(SEMANAL!$C$65,M$326)/1000</f>
        <v>0</v>
      </c>
      <c r="N332" s="70">
        <f>PRODUCT(SEMANAL!$E$65,N$325)/1000+PRODUCT(SEMANAL!$C$65,N$326)/1000</f>
        <v>0</v>
      </c>
      <c r="O332" s="21">
        <f>SUM('OC CAR y PAN AZUL 2'!B63:N63)</f>
        <v>0</v>
      </c>
      <c r="P332" s="1">
        <v>3800</v>
      </c>
      <c r="Q332" s="1">
        <f t="shared" si="15"/>
        <v>0</v>
      </c>
      <c r="R332" s="35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 t="s">
        <v>33</v>
      </c>
      <c r="Q333" s="1">
        <f>SUM(Q327:Q332)</f>
        <v>999400</v>
      </c>
      <c r="R333" s="35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35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35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26" t="s">
        <v>34</v>
      </c>
      <c r="C336" s="27" t="s">
        <v>35</v>
      </c>
      <c r="D336" s="26" t="s">
        <v>36</v>
      </c>
      <c r="E336" s="26" t="s">
        <v>37</v>
      </c>
      <c r="F336" s="26" t="s">
        <v>38</v>
      </c>
      <c r="G336" s="26" t="s">
        <v>39</v>
      </c>
      <c r="H336" s="26" t="s">
        <v>40</v>
      </c>
      <c r="I336" s="26" t="s">
        <v>41</v>
      </c>
      <c r="J336" s="26" t="s">
        <v>42</v>
      </c>
      <c r="K336" s="26" t="s">
        <v>43</v>
      </c>
      <c r="L336" s="26" t="s">
        <v>44</v>
      </c>
      <c r="M336" s="26" t="s">
        <v>45</v>
      </c>
      <c r="N336" s="26" t="s">
        <v>46</v>
      </c>
      <c r="O336" s="1"/>
      <c r="P336" s="1"/>
      <c r="Q336" s="1"/>
      <c r="R336" s="35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9">
        <v>49</v>
      </c>
      <c r="C337" s="19">
        <v>230</v>
      </c>
      <c r="D337" s="19">
        <v>19</v>
      </c>
      <c r="E337" s="19">
        <v>38</v>
      </c>
      <c r="F337" s="19">
        <v>26</v>
      </c>
      <c r="G337" s="19">
        <v>5</v>
      </c>
      <c r="H337" s="19">
        <v>5</v>
      </c>
      <c r="I337" s="19">
        <v>8</v>
      </c>
      <c r="J337" s="19">
        <v>8</v>
      </c>
      <c r="K337" s="19">
        <v>7</v>
      </c>
      <c r="L337" s="19">
        <v>10</v>
      </c>
      <c r="M337" s="19">
        <v>17</v>
      </c>
      <c r="N337" s="19">
        <v>9</v>
      </c>
      <c r="O337" s="1"/>
      <c r="P337" s="1"/>
      <c r="Q337" s="1"/>
      <c r="R337" s="33"/>
      <c r="S337" s="1"/>
      <c r="T337" s="1"/>
      <c r="U337" s="1"/>
      <c r="V337" s="21"/>
      <c r="W337" s="1"/>
      <c r="X337" s="1"/>
      <c r="Y337" s="1"/>
      <c r="Z337" s="1"/>
    </row>
    <row r="338" spans="1:26" ht="14.25" customHeight="1">
      <c r="A338" s="1"/>
      <c r="B338" s="19">
        <v>40</v>
      </c>
      <c r="C338" s="19">
        <v>115</v>
      </c>
      <c r="D338" s="19">
        <v>0</v>
      </c>
      <c r="E338" s="19">
        <v>0</v>
      </c>
      <c r="F338" s="19">
        <v>13</v>
      </c>
      <c r="G338" s="19">
        <v>1</v>
      </c>
      <c r="H338" s="19">
        <v>0</v>
      </c>
      <c r="I338" s="19">
        <v>0</v>
      </c>
      <c r="J338" s="19">
        <v>0</v>
      </c>
      <c r="K338" s="19">
        <v>0</v>
      </c>
      <c r="L338" s="19">
        <v>0</v>
      </c>
      <c r="M338" s="19">
        <v>0</v>
      </c>
      <c r="N338" s="19">
        <v>3</v>
      </c>
      <c r="O338" s="1"/>
      <c r="P338" s="1" t="s">
        <v>18</v>
      </c>
      <c r="Q338" s="1" t="s">
        <v>181</v>
      </c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78" t="s">
        <v>182</v>
      </c>
      <c r="B339" s="79">
        <f>PRODUCT(SEMANAL!$E60,B$337)/1000+PRODUCT(SEMANAL!$C60,B$338)/1000</f>
        <v>2.4500000000000002</v>
      </c>
      <c r="C339" s="79">
        <f>PRODUCT(SEMANAL!$E60,C$337)/1000+PRODUCT(SEMANAL!$C60,C$338)/1000</f>
        <v>11.5</v>
      </c>
      <c r="D339" s="79">
        <f>PRODUCT(SEMANAL!$E60,D$337)/1000+PRODUCT(SEMANAL!$C60,D$338)/1000</f>
        <v>0.95</v>
      </c>
      <c r="E339" s="79">
        <f>PRODUCT(SEMANAL!$E60,E$337)/1000+PRODUCT(SEMANAL!$C60,E$338)/1000</f>
        <v>1.9</v>
      </c>
      <c r="F339" s="79">
        <f>PRODUCT(SEMANAL!$E60,F$337)/1000+PRODUCT(SEMANAL!$C60,F$338)/1000</f>
        <v>1.3</v>
      </c>
      <c r="G339" s="79">
        <f>PRODUCT(SEMANAL!$E60,G$337)/1000+PRODUCT(SEMANAL!$C60,G$338)/1000</f>
        <v>0.25</v>
      </c>
      <c r="H339" s="79">
        <f>PRODUCT(SEMANAL!$E60,H$337)/1000+PRODUCT(SEMANAL!$C60,H$338)/1000</f>
        <v>0.25</v>
      </c>
      <c r="I339" s="79">
        <f>PRODUCT(SEMANAL!$E60,I$337)/1000+PRODUCT(SEMANAL!$C60,I$338)/1000</f>
        <v>0.4</v>
      </c>
      <c r="J339" s="79">
        <f>PRODUCT(SEMANAL!$E60,J$337)/1000+PRODUCT(SEMANAL!$C60,J$338)/1000</f>
        <v>0.4</v>
      </c>
      <c r="K339" s="79">
        <f>PRODUCT(SEMANAL!$E60,K$337)/1000+PRODUCT(SEMANAL!$C60,K$338)/1000</f>
        <v>0.35</v>
      </c>
      <c r="L339" s="79">
        <f>PRODUCT(SEMANAL!$E60,L$337)/1000+PRODUCT(SEMANAL!$C60,L$338)/1000</f>
        <v>0.5</v>
      </c>
      <c r="M339" s="79">
        <f>PRODUCT(SEMANAL!$E60,M$337)/1000+PRODUCT(SEMANAL!$C60,M$338)/1000</f>
        <v>0.85</v>
      </c>
      <c r="N339" s="79">
        <f>PRODUCT(SEMANAL!$E60,N$337)/1000+PRODUCT(SEMANAL!$C60,N$338)/1000</f>
        <v>0.45</v>
      </c>
      <c r="O339" s="1">
        <f>SUM('OC CAR y PAN AZUL 2'!B70:N70)</f>
        <v>25</v>
      </c>
      <c r="P339" s="1">
        <v>3800</v>
      </c>
      <c r="Q339" s="1">
        <f t="shared" ref="Q339:Q344" si="16">PRODUCT(O339:P339)</f>
        <v>95000</v>
      </c>
      <c r="R339" s="1"/>
      <c r="S339" s="1"/>
      <c r="T339" s="1"/>
      <c r="U339" s="1"/>
      <c r="V339" s="21"/>
      <c r="W339" s="1"/>
      <c r="X339" s="1"/>
      <c r="Y339" s="1"/>
      <c r="Z339" s="1"/>
    </row>
    <row r="340" spans="1:26" ht="14.25" customHeight="1">
      <c r="A340" s="78" t="s">
        <v>183</v>
      </c>
      <c r="B340" s="79">
        <f>PRODUCT(SEMANAL!$E61,B$337)/1000+PRODUCT(SEMANAL!$C61,B$338)/1000</f>
        <v>2.4500000000000002</v>
      </c>
      <c r="C340" s="79">
        <f>PRODUCT(SEMANAL!$E61,C$337)/1000+PRODUCT(SEMANAL!$C61,C$338)/1000</f>
        <v>11.5</v>
      </c>
      <c r="D340" s="79">
        <f>PRODUCT(SEMANAL!$E61,D$337)/1000+PRODUCT(SEMANAL!$C61,D$338)/1000</f>
        <v>0.95</v>
      </c>
      <c r="E340" s="79">
        <f>PRODUCT(SEMANAL!$E61,E$337)/1000+PRODUCT(SEMANAL!$C61,E$338)/1000</f>
        <v>1.9</v>
      </c>
      <c r="F340" s="79">
        <f>PRODUCT(SEMANAL!$E61,F$337)/1000+PRODUCT(SEMANAL!$C61,F$338)/1000</f>
        <v>1.3</v>
      </c>
      <c r="G340" s="79">
        <f>PRODUCT(SEMANAL!$E61,G$337)/1000+PRODUCT(SEMANAL!$C61,G$338)/1000</f>
        <v>0.25</v>
      </c>
      <c r="H340" s="79">
        <f>PRODUCT(SEMANAL!$E61,H$337)/1000+PRODUCT(SEMANAL!$C61,H$338)/1000</f>
        <v>0.25</v>
      </c>
      <c r="I340" s="79">
        <f>PRODUCT(SEMANAL!$E61,I$337)/1000+PRODUCT(SEMANAL!$C61,I$338)/1000</f>
        <v>0.4</v>
      </c>
      <c r="J340" s="79">
        <f>PRODUCT(SEMANAL!$E61,J$337)/1000+PRODUCT(SEMANAL!$C61,J$338)/1000</f>
        <v>0.4</v>
      </c>
      <c r="K340" s="79">
        <f>PRODUCT(SEMANAL!$E61,K$337)/1000+PRODUCT(SEMANAL!$C61,K$338)/1000</f>
        <v>0.35</v>
      </c>
      <c r="L340" s="79">
        <f>PRODUCT(SEMANAL!$E61,L$337)/1000+PRODUCT(SEMANAL!$C61,L$338)/1000</f>
        <v>0.5</v>
      </c>
      <c r="M340" s="79">
        <f>PRODUCT(SEMANAL!$E61,M$337)/1000+PRODUCT(SEMANAL!$C61,M$338)/1000</f>
        <v>0.85</v>
      </c>
      <c r="N340" s="79">
        <f>PRODUCT(SEMANAL!$E61,N$337)/1000+PRODUCT(SEMANAL!$C61,N$338)/1000</f>
        <v>0.45</v>
      </c>
      <c r="O340" s="1">
        <f>SUM('OC CAR y PAN AZUL 2'!B71:N71)</f>
        <v>22</v>
      </c>
      <c r="P340" s="1">
        <v>3800</v>
      </c>
      <c r="Q340" s="1">
        <f t="shared" si="16"/>
        <v>83600</v>
      </c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78" t="s">
        <v>184</v>
      </c>
      <c r="B341" s="79">
        <f>PRODUCT(SEMANAL!$E62,B$337)/1000+PRODUCT(SEMANAL!$C62,B$338)/1000</f>
        <v>2.4500000000000002</v>
      </c>
      <c r="C341" s="79">
        <f>PRODUCT(SEMANAL!$E62,C$337)/1000+PRODUCT(SEMANAL!$C62,C$338)/1000</f>
        <v>11.5</v>
      </c>
      <c r="D341" s="79">
        <f>PRODUCT(SEMANAL!$E62,D$337)/1000+PRODUCT(SEMANAL!$C62,D$338)/1000</f>
        <v>0.95</v>
      </c>
      <c r="E341" s="79">
        <f>PRODUCT(SEMANAL!$E62,E$337)/1000+PRODUCT(SEMANAL!$C62,E$338)/1000</f>
        <v>1.9</v>
      </c>
      <c r="F341" s="79">
        <f>PRODUCT(SEMANAL!$E62,F$337)/1000+PRODUCT(SEMANAL!$C62,F$338)/1000</f>
        <v>1.3</v>
      </c>
      <c r="G341" s="79">
        <f>PRODUCT(SEMANAL!$E62,G$337)/1000+PRODUCT(SEMANAL!$C62,G$338)/1000</f>
        <v>0.25</v>
      </c>
      <c r="H341" s="79">
        <f>PRODUCT(SEMANAL!$E62,H$337)/1000+PRODUCT(SEMANAL!$C62,H$338)/1000</f>
        <v>0.25</v>
      </c>
      <c r="I341" s="79">
        <f>PRODUCT(SEMANAL!$E62,I$337)/1000+PRODUCT(SEMANAL!$C62,I$338)/1000</f>
        <v>0.4</v>
      </c>
      <c r="J341" s="79">
        <f>PRODUCT(SEMANAL!$E62,J$337)/1000+PRODUCT(SEMANAL!$C62,J$338)/1000</f>
        <v>0.4</v>
      </c>
      <c r="K341" s="79">
        <f>PRODUCT(SEMANAL!$E62,K$337)/1000+PRODUCT(SEMANAL!$C62,K$338)/1000</f>
        <v>0.35</v>
      </c>
      <c r="L341" s="79">
        <f>PRODUCT(SEMANAL!$E62,L$337)/1000+PRODUCT(SEMANAL!$C62,L$338)/1000</f>
        <v>0.5</v>
      </c>
      <c r="M341" s="79">
        <f>PRODUCT(SEMANAL!$E62,M$337)/1000+PRODUCT(SEMANAL!$C62,M$338)/1000</f>
        <v>0.85</v>
      </c>
      <c r="N341" s="79">
        <f>PRODUCT(SEMANAL!$E62,N$337)/1000+PRODUCT(SEMANAL!$C62,N$338)/1000</f>
        <v>0.45</v>
      </c>
      <c r="O341" s="1">
        <f>SUM('OC CAR y PAN AZUL 2'!B72:N72)</f>
        <v>25</v>
      </c>
      <c r="P341" s="1">
        <v>3800</v>
      </c>
      <c r="Q341" s="1">
        <f t="shared" si="16"/>
        <v>95000</v>
      </c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81" t="s">
        <v>185</v>
      </c>
      <c r="B342" s="79">
        <f>PRODUCT(SEMANAL!$E63,B$337)/1000+PRODUCT(SEMANAL!$C63,B$338)/1000</f>
        <v>2.4500000000000002</v>
      </c>
      <c r="C342" s="79">
        <f>PRODUCT(SEMANAL!$E63,C$337)/1000+PRODUCT(SEMANAL!$C63,C$338)/1000</f>
        <v>11.5</v>
      </c>
      <c r="D342" s="79">
        <f>PRODUCT(SEMANAL!$E63,D$337)/1000+PRODUCT(SEMANAL!$C63,D$338)/1000</f>
        <v>0.95</v>
      </c>
      <c r="E342" s="79">
        <f>PRODUCT(SEMANAL!$E63,E$337)/1000+PRODUCT(SEMANAL!$C63,E$338)/1000</f>
        <v>1.9</v>
      </c>
      <c r="F342" s="79">
        <f>PRODUCT(SEMANAL!$E63,F$337)/1000+PRODUCT(SEMANAL!$C63,F$338)/1000</f>
        <v>1.3</v>
      </c>
      <c r="G342" s="79">
        <f>PRODUCT(SEMANAL!$E63,G$337)/1000+PRODUCT(SEMANAL!$C63,G$338)/1000</f>
        <v>0.25</v>
      </c>
      <c r="H342" s="79">
        <f>PRODUCT(SEMANAL!$E63,H$337)/1000+PRODUCT(SEMANAL!$C63,H$338)/1000</f>
        <v>0.25</v>
      </c>
      <c r="I342" s="79">
        <f>PRODUCT(SEMANAL!$E63,I$337)/1000+PRODUCT(SEMANAL!$C63,I$338)/1000</f>
        <v>0.4</v>
      </c>
      <c r="J342" s="79">
        <f>PRODUCT(SEMANAL!$E63,J$337)/1000+PRODUCT(SEMANAL!$C63,J$338)/1000</f>
        <v>0.4</v>
      </c>
      <c r="K342" s="79">
        <f>PRODUCT(SEMANAL!$E63,K$337)/1000+PRODUCT(SEMANAL!$C63,K$338)/1000</f>
        <v>0.35</v>
      </c>
      <c r="L342" s="79">
        <f>PRODUCT(SEMANAL!$E63,L$337)/1000+PRODUCT(SEMANAL!$C63,L$338)/1000</f>
        <v>0.5</v>
      </c>
      <c r="M342" s="79">
        <f>PRODUCT(SEMANAL!$E63,M$337)/1000+PRODUCT(SEMANAL!$C63,M$338)/1000</f>
        <v>0.85</v>
      </c>
      <c r="N342" s="79">
        <f>PRODUCT(SEMANAL!$E63,N$337)/1000+PRODUCT(SEMANAL!$C63,N$338)/1000</f>
        <v>0.45</v>
      </c>
      <c r="O342" s="1">
        <f>SUM('OC CAR y PAN AZUL 2'!B73:N73)</f>
        <v>22</v>
      </c>
      <c r="P342" s="1">
        <v>3800</v>
      </c>
      <c r="Q342" s="1">
        <f t="shared" si="16"/>
        <v>83600</v>
      </c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81" t="s">
        <v>186</v>
      </c>
      <c r="B343" s="79">
        <f>PRODUCT(SEMANAL!$E64,B$337)/1000+PRODUCT(SEMANAL!$C64,B$338)/1000</f>
        <v>2.4500000000000002</v>
      </c>
      <c r="C343" s="79">
        <f>PRODUCT(SEMANAL!$E64,C$337)/1000+PRODUCT(SEMANAL!$C64,C$338)/1000</f>
        <v>11.5</v>
      </c>
      <c r="D343" s="79">
        <f>PRODUCT(SEMANAL!$E64,D$337)/1000+PRODUCT(SEMANAL!$C64,D$338)/1000</f>
        <v>0.95</v>
      </c>
      <c r="E343" s="79">
        <f>PRODUCT(SEMANAL!$E64,E$337)/1000+PRODUCT(SEMANAL!$C64,E$338)/1000</f>
        <v>1.9</v>
      </c>
      <c r="F343" s="79">
        <f>PRODUCT(SEMANAL!$E64,F$337)/1000+PRODUCT(SEMANAL!$C64,F$338)/1000</f>
        <v>1.3</v>
      </c>
      <c r="G343" s="79">
        <f>PRODUCT(SEMANAL!$E64,G$337)/1000+PRODUCT(SEMANAL!$C64,G$338)/1000</f>
        <v>0.25</v>
      </c>
      <c r="H343" s="79">
        <f>PRODUCT(SEMANAL!$E64,H$337)/1000+PRODUCT(SEMANAL!$C64,H$338)/1000</f>
        <v>0.25</v>
      </c>
      <c r="I343" s="79">
        <f>PRODUCT(SEMANAL!$E64,I$337)/1000+PRODUCT(SEMANAL!$C64,I$338)/1000</f>
        <v>0.4</v>
      </c>
      <c r="J343" s="79">
        <f>PRODUCT(SEMANAL!$E64,J$337)/1000+PRODUCT(SEMANAL!$C64,J$338)/1000</f>
        <v>0.4</v>
      </c>
      <c r="K343" s="79">
        <f>PRODUCT(SEMANAL!$E64,K$337)/1000+PRODUCT(SEMANAL!$C64,K$338)/1000</f>
        <v>0.35</v>
      </c>
      <c r="L343" s="79">
        <f>PRODUCT(SEMANAL!$E64,L$337)/1000+PRODUCT(SEMANAL!$C64,L$338)/1000</f>
        <v>0.5</v>
      </c>
      <c r="M343" s="79">
        <f>PRODUCT(SEMANAL!$E64,M$337)/1000+PRODUCT(SEMANAL!$C64,M$338)/1000</f>
        <v>0.85</v>
      </c>
      <c r="N343" s="79">
        <f>PRODUCT(SEMANAL!$E64,N$337)/1000+PRODUCT(SEMANAL!$C64,N$338)/1000</f>
        <v>0.45</v>
      </c>
      <c r="O343" s="1">
        <f>SUM('OC CAR y PAN AZUL 2'!B74:N74)</f>
        <v>25</v>
      </c>
      <c r="P343" s="1">
        <v>3800</v>
      </c>
      <c r="Q343" s="1">
        <f t="shared" si="16"/>
        <v>95000</v>
      </c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81" t="s">
        <v>187</v>
      </c>
      <c r="B344" s="79">
        <f>PRODUCT(SEMANAL!$E65,B$337)/1000+PRODUCT(SEMANAL!$C65,B$338)/1000</f>
        <v>0</v>
      </c>
      <c r="C344" s="79">
        <f>PRODUCT(SEMANAL!$E65,C$337)/1000+PRODUCT(SEMANAL!$C65,C$338)/1000</f>
        <v>0</v>
      </c>
      <c r="D344" s="79">
        <f>PRODUCT(SEMANAL!$E65,D$337)/1000+PRODUCT(SEMANAL!$C65,D$338)/1000</f>
        <v>0</v>
      </c>
      <c r="E344" s="79">
        <f>PRODUCT(SEMANAL!$E65,E$337)/1000+PRODUCT(SEMANAL!$C65,E$338)/1000</f>
        <v>0</v>
      </c>
      <c r="F344" s="79">
        <f>PRODUCT(SEMANAL!$E65,F$337)/1000+PRODUCT(SEMANAL!$C65,F$338)/1000</f>
        <v>0</v>
      </c>
      <c r="G344" s="79">
        <f>PRODUCT(SEMANAL!$E65,G$337)/1000+PRODUCT(SEMANAL!$C65,G$338)/1000</f>
        <v>0</v>
      </c>
      <c r="H344" s="79">
        <f>PRODUCT(SEMANAL!$E65,H$337)/1000+PRODUCT(SEMANAL!$C65,H$338)/1000</f>
        <v>0</v>
      </c>
      <c r="I344" s="79">
        <f>PRODUCT(SEMANAL!$E65,I$337)/1000+PRODUCT(SEMANAL!$C65,I$338)/1000</f>
        <v>0</v>
      </c>
      <c r="J344" s="79">
        <f>PRODUCT(SEMANAL!$E65,J$337)/1000+PRODUCT(SEMANAL!$C65,J$338)/1000</f>
        <v>0</v>
      </c>
      <c r="K344" s="79">
        <f>PRODUCT(SEMANAL!$E65,K$337)/1000+PRODUCT(SEMANAL!$C65,K$338)/1000</f>
        <v>0</v>
      </c>
      <c r="L344" s="79">
        <f>PRODUCT(SEMANAL!$E65,L$337)/1000+PRODUCT(SEMANAL!$C65,L$338)/1000</f>
        <v>0</v>
      </c>
      <c r="M344" s="79">
        <f>PRODUCT(SEMANAL!$E65,M$337)/1000+PRODUCT(SEMANAL!$C65,M$338)/1000</f>
        <v>0</v>
      </c>
      <c r="N344" s="79">
        <f>PRODUCT(SEMANAL!$E65,N$337)/1000+PRODUCT(SEMANAL!$C65,N$338)/1000</f>
        <v>0</v>
      </c>
      <c r="O344" s="1">
        <f>SUM('OC CAR y PAN AZUL 2'!B75:N75)</f>
        <v>0</v>
      </c>
      <c r="P344" s="1">
        <v>3800</v>
      </c>
      <c r="Q344" s="1">
        <f t="shared" si="16"/>
        <v>0</v>
      </c>
      <c r="R344" s="82"/>
      <c r="S344" s="82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 t="s">
        <v>33</v>
      </c>
      <c r="Q345" s="1">
        <f>SUM(Q339:Q344)</f>
        <v>452200</v>
      </c>
      <c r="R345" s="83"/>
      <c r="S345" s="83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26" t="s">
        <v>47</v>
      </c>
      <c r="C346" s="26" t="s">
        <v>48</v>
      </c>
      <c r="D346" s="26" t="s">
        <v>49</v>
      </c>
      <c r="E346" s="26" t="s">
        <v>50</v>
      </c>
      <c r="F346" s="26" t="s">
        <v>51</v>
      </c>
      <c r="G346" s="26" t="s">
        <v>52</v>
      </c>
      <c r="H346" s="26" t="s">
        <v>53</v>
      </c>
      <c r="I346" s="26" t="s">
        <v>54</v>
      </c>
      <c r="J346" s="26" t="s">
        <v>54</v>
      </c>
      <c r="K346" s="26" t="s">
        <v>55</v>
      </c>
      <c r="L346" s="26" t="s">
        <v>56</v>
      </c>
      <c r="M346" s="26" t="s">
        <v>56</v>
      </c>
      <c r="N346" s="27" t="s">
        <v>57</v>
      </c>
      <c r="O346" s="1"/>
      <c r="P346" s="1"/>
      <c r="Q346" s="1"/>
      <c r="R346" s="83"/>
      <c r="S346" s="83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63"/>
      <c r="C347" s="63"/>
      <c r="D347" s="63"/>
      <c r="E347" s="63"/>
      <c r="F347" s="26" t="s">
        <v>58</v>
      </c>
      <c r="G347" s="63"/>
      <c r="H347" s="63"/>
      <c r="I347" s="26" t="s">
        <v>6</v>
      </c>
      <c r="J347" s="26" t="s">
        <v>59</v>
      </c>
      <c r="K347" s="63"/>
      <c r="L347" s="26" t="s">
        <v>60</v>
      </c>
      <c r="M347" s="26" t="s">
        <v>61</v>
      </c>
      <c r="N347" s="26" t="s">
        <v>62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9">
        <v>167</v>
      </c>
      <c r="C348" s="19">
        <v>148</v>
      </c>
      <c r="D348" s="19">
        <v>7</v>
      </c>
      <c r="E348" s="19">
        <v>178</v>
      </c>
      <c r="F348" s="19">
        <v>108</v>
      </c>
      <c r="G348" s="19">
        <v>35</v>
      </c>
      <c r="H348" s="19">
        <v>149</v>
      </c>
      <c r="I348" s="19">
        <v>99</v>
      </c>
      <c r="J348" s="19">
        <v>33</v>
      </c>
      <c r="K348" s="19">
        <v>150</v>
      </c>
      <c r="L348" s="19">
        <v>123</v>
      </c>
      <c r="M348" s="19">
        <v>78</v>
      </c>
      <c r="N348" s="19">
        <v>170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9">
        <v>60</v>
      </c>
      <c r="C349" s="19">
        <v>100</v>
      </c>
      <c r="D349" s="19">
        <v>0</v>
      </c>
      <c r="E349" s="19">
        <v>89</v>
      </c>
      <c r="F349" s="19">
        <v>0</v>
      </c>
      <c r="G349" s="19">
        <v>0</v>
      </c>
      <c r="H349" s="19">
        <v>149</v>
      </c>
      <c r="I349" s="19">
        <v>0</v>
      </c>
      <c r="J349" s="19">
        <v>0</v>
      </c>
      <c r="K349" s="19">
        <v>95</v>
      </c>
      <c r="L349" s="19">
        <v>0</v>
      </c>
      <c r="M349" s="19">
        <v>0</v>
      </c>
      <c r="N349" s="19">
        <v>70</v>
      </c>
      <c r="O349" s="1"/>
      <c r="P349" s="1" t="s">
        <v>18</v>
      </c>
      <c r="Q349" s="1" t="s">
        <v>181</v>
      </c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78" t="s">
        <v>182</v>
      </c>
      <c r="B350" s="79">
        <f>PRODUCT(SEMANAL!$E60,B$348)/1000+PRODUCT(SEMANAL!$C60,B$349)/1000</f>
        <v>8.35</v>
      </c>
      <c r="C350" s="79">
        <f>PRODUCT(SEMANAL!$E60,C$348)/1000+PRODUCT(SEMANAL!$C60,C$349)/1000</f>
        <v>7.4</v>
      </c>
      <c r="D350" s="79">
        <f>PRODUCT(SEMANAL!$E60,D$348)/1000+PRODUCT(SEMANAL!$C60,D$349)/1000</f>
        <v>0.35</v>
      </c>
      <c r="E350" s="79">
        <f>PRODUCT(SEMANAL!$E60,E$348)/1000+PRODUCT(SEMANAL!$C60,E$349)/1000</f>
        <v>8.9</v>
      </c>
      <c r="F350" s="79">
        <f>PRODUCT(SEMANAL!$E60,F$348)/1000+PRODUCT(SEMANAL!$C60,F$349)/1000</f>
        <v>5.4</v>
      </c>
      <c r="G350" s="79">
        <f>PRODUCT(SEMANAL!$E60,G$348)/1000+PRODUCT(SEMANAL!$C60,G$349)/1000</f>
        <v>1.75</v>
      </c>
      <c r="H350" s="79">
        <f>PRODUCT(SEMANAL!$E60,H$348)/1000+PRODUCT(SEMANAL!$C60,H$349)/1000</f>
        <v>7.45</v>
      </c>
      <c r="I350" s="79">
        <f>PRODUCT(SEMANAL!$E60,I$348)/1000+PRODUCT(SEMANAL!$C60,I$349)/1000</f>
        <v>4.95</v>
      </c>
      <c r="J350" s="79">
        <f>PRODUCT(SEMANAL!$E60,J$348)/1000+PRODUCT(SEMANAL!$C60,J$349)/1000</f>
        <v>1.65</v>
      </c>
      <c r="K350" s="79">
        <f>PRODUCT(SEMANAL!$E60,K$348)/1000+PRODUCT(SEMANAL!$C60,K$349)/1000</f>
        <v>7.5</v>
      </c>
      <c r="L350" s="79">
        <f>PRODUCT(SEMANAL!$E60,L$348)/1000+PRODUCT(SEMANAL!$C60,L$349)/1000</f>
        <v>6.15</v>
      </c>
      <c r="M350" s="79">
        <f>PRODUCT(SEMANAL!$E60,M$348)/1000+PRODUCT(SEMANAL!$C60,M$349)/1000</f>
        <v>3.9</v>
      </c>
      <c r="N350" s="79">
        <f>PRODUCT(SEMANAL!$E60,N$348)/1000+PRODUCT(SEMANAL!$C60,N$349)/1000</f>
        <v>8.5</v>
      </c>
      <c r="O350" s="1">
        <f>SUM('OC CAR y PAN AZUL 2'!B81:N81)</f>
        <v>78</v>
      </c>
      <c r="P350" s="1">
        <v>3800</v>
      </c>
      <c r="Q350" s="1">
        <f t="shared" ref="Q350:Q355" si="17">PRODUCT(O350:P350)</f>
        <v>296400</v>
      </c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78" t="s">
        <v>183</v>
      </c>
      <c r="B351" s="79">
        <f>PRODUCT(SEMANAL!$E61,B$348)/1000+PRODUCT(SEMANAL!$C61,B$349)/1000</f>
        <v>8.35</v>
      </c>
      <c r="C351" s="79">
        <f>PRODUCT(SEMANAL!$E61,C$348)/1000+PRODUCT(SEMANAL!$C61,C$349)/1000</f>
        <v>7.4</v>
      </c>
      <c r="D351" s="79">
        <f>PRODUCT(SEMANAL!$E61,D$348)/1000+PRODUCT(SEMANAL!$C61,D$349)/1000</f>
        <v>0.35</v>
      </c>
      <c r="E351" s="79">
        <f>PRODUCT(SEMANAL!$E61,E$348)/1000+PRODUCT(SEMANAL!$C61,E$349)/1000</f>
        <v>8.9</v>
      </c>
      <c r="F351" s="79">
        <f>PRODUCT(SEMANAL!$E61,F$348)/1000+PRODUCT(SEMANAL!$C61,F$349)/1000</f>
        <v>5.4</v>
      </c>
      <c r="G351" s="79">
        <f>PRODUCT(SEMANAL!$E61,G$348)/1000+PRODUCT(SEMANAL!$C61,G$349)/1000</f>
        <v>1.75</v>
      </c>
      <c r="H351" s="79">
        <f>PRODUCT(SEMANAL!$E61,H$348)/1000+PRODUCT(SEMANAL!$C61,H$349)/1000</f>
        <v>7.45</v>
      </c>
      <c r="I351" s="79">
        <f>PRODUCT(SEMANAL!$E61,I$348)/1000+PRODUCT(SEMANAL!$C61,I$349)/1000</f>
        <v>4.95</v>
      </c>
      <c r="J351" s="79">
        <f>PRODUCT(SEMANAL!$E61,J$348)/1000+PRODUCT(SEMANAL!$C61,J$349)/1000</f>
        <v>1.65</v>
      </c>
      <c r="K351" s="79">
        <f>PRODUCT(SEMANAL!$E61,K$348)/1000+PRODUCT(SEMANAL!$C61,K$349)/1000</f>
        <v>7.5</v>
      </c>
      <c r="L351" s="79">
        <f>PRODUCT(SEMANAL!$E61,L$348)/1000+PRODUCT(SEMANAL!$C61,L$349)/1000</f>
        <v>6.15</v>
      </c>
      <c r="M351" s="79">
        <f>PRODUCT(SEMANAL!$E61,M$348)/1000+PRODUCT(SEMANAL!$C61,M$349)/1000</f>
        <v>3.9</v>
      </c>
      <c r="N351" s="79">
        <f>PRODUCT(SEMANAL!$E61,N$348)/1000+PRODUCT(SEMANAL!$C61,N$349)/1000</f>
        <v>8.5</v>
      </c>
      <c r="O351" s="1">
        <f>SUM('OC CAR y PAN AZUL 2'!B82:N82)</f>
        <v>76</v>
      </c>
      <c r="P351" s="1">
        <v>3800</v>
      </c>
      <c r="Q351" s="1">
        <f t="shared" si="17"/>
        <v>288800</v>
      </c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78" t="s">
        <v>184</v>
      </c>
      <c r="B352" s="79">
        <f>PRODUCT(SEMANAL!$E62,B$348)/1000+PRODUCT(SEMANAL!$C62,B$349)/1000</f>
        <v>8.35</v>
      </c>
      <c r="C352" s="79">
        <f>PRODUCT(SEMANAL!$E62,C$348)/1000+PRODUCT(SEMANAL!$C62,C$349)/1000</f>
        <v>7.4</v>
      </c>
      <c r="D352" s="79">
        <f>PRODUCT(SEMANAL!$E62,D$348)/1000+PRODUCT(SEMANAL!$C62,D$349)/1000</f>
        <v>0.35</v>
      </c>
      <c r="E352" s="79">
        <f>PRODUCT(SEMANAL!$E62,E$348)/1000+PRODUCT(SEMANAL!$C62,E$349)/1000</f>
        <v>8.9</v>
      </c>
      <c r="F352" s="79">
        <f>PRODUCT(SEMANAL!$E62,F$348)/1000+PRODUCT(SEMANAL!$C62,F$349)/1000</f>
        <v>5.4</v>
      </c>
      <c r="G352" s="79">
        <f>PRODUCT(SEMANAL!$E62,G$348)/1000+PRODUCT(SEMANAL!$C62,G$349)/1000</f>
        <v>1.75</v>
      </c>
      <c r="H352" s="79">
        <f>PRODUCT(SEMANAL!$E62,H$348)/1000+PRODUCT(SEMANAL!$C62,H$349)/1000</f>
        <v>7.45</v>
      </c>
      <c r="I352" s="79">
        <f>PRODUCT(SEMANAL!$E62,I$348)/1000+PRODUCT(SEMANAL!$C62,I$349)/1000</f>
        <v>4.95</v>
      </c>
      <c r="J352" s="79">
        <f>PRODUCT(SEMANAL!$E62,J$348)/1000+PRODUCT(SEMANAL!$C62,J$349)/1000</f>
        <v>1.65</v>
      </c>
      <c r="K352" s="79">
        <f>PRODUCT(SEMANAL!$E62,K$348)/1000+PRODUCT(SEMANAL!$C62,K$349)/1000</f>
        <v>7.5</v>
      </c>
      <c r="L352" s="79">
        <f>PRODUCT(SEMANAL!$E62,L$348)/1000+PRODUCT(SEMANAL!$C62,L$349)/1000</f>
        <v>6.15</v>
      </c>
      <c r="M352" s="79">
        <f>PRODUCT(SEMANAL!$E62,M$348)/1000+PRODUCT(SEMANAL!$C62,M$349)/1000</f>
        <v>3.9</v>
      </c>
      <c r="N352" s="79">
        <f>PRODUCT(SEMANAL!$E62,N$348)/1000+PRODUCT(SEMANAL!$C62,N$349)/1000</f>
        <v>8.5</v>
      </c>
      <c r="O352" s="1">
        <f>SUM('OC CAR y PAN AZUL 2'!B83:N83)</f>
        <v>78</v>
      </c>
      <c r="P352" s="1">
        <v>3800</v>
      </c>
      <c r="Q352" s="1">
        <f t="shared" si="17"/>
        <v>296400</v>
      </c>
      <c r="R352" s="82"/>
      <c r="S352" s="82"/>
      <c r="T352" s="1"/>
      <c r="U352" s="1"/>
      <c r="V352" s="1"/>
      <c r="W352" s="1"/>
      <c r="X352" s="1"/>
      <c r="Y352" s="1"/>
      <c r="Z352" s="1"/>
    </row>
    <row r="353" spans="1:26" ht="14.25" customHeight="1">
      <c r="A353" s="81" t="s">
        <v>185</v>
      </c>
      <c r="B353" s="79">
        <f>PRODUCT(SEMANAL!$E63,B$348)/1000+PRODUCT(SEMANAL!$C63,B$349)/1000</f>
        <v>8.35</v>
      </c>
      <c r="C353" s="79">
        <f>PRODUCT(SEMANAL!$E63,C$348)/1000+PRODUCT(SEMANAL!$C63,C$349)/1000</f>
        <v>7.4</v>
      </c>
      <c r="D353" s="79">
        <f>PRODUCT(SEMANAL!$E63,D$348)/1000+PRODUCT(SEMANAL!$C63,D$349)/1000</f>
        <v>0.35</v>
      </c>
      <c r="E353" s="79">
        <f>PRODUCT(SEMANAL!$E63,E$348)/1000+PRODUCT(SEMANAL!$C63,E$349)/1000</f>
        <v>8.9</v>
      </c>
      <c r="F353" s="79">
        <f>PRODUCT(SEMANAL!$E63,F$348)/1000+PRODUCT(SEMANAL!$C63,F$349)/1000</f>
        <v>5.4</v>
      </c>
      <c r="G353" s="79">
        <f>PRODUCT(SEMANAL!$E63,G$348)/1000+PRODUCT(SEMANAL!$C63,G$349)/1000</f>
        <v>1.75</v>
      </c>
      <c r="H353" s="79">
        <f>PRODUCT(SEMANAL!$E63,H$348)/1000+PRODUCT(SEMANAL!$C63,H$349)/1000</f>
        <v>7.45</v>
      </c>
      <c r="I353" s="79">
        <f>PRODUCT(SEMANAL!$E63,I$348)/1000+PRODUCT(SEMANAL!$C63,I$349)/1000</f>
        <v>4.95</v>
      </c>
      <c r="J353" s="79">
        <f>PRODUCT(SEMANAL!$E63,J$348)/1000+PRODUCT(SEMANAL!$C63,J$349)/1000</f>
        <v>1.65</v>
      </c>
      <c r="K353" s="79">
        <f>PRODUCT(SEMANAL!$E63,K$348)/1000+PRODUCT(SEMANAL!$C63,K$349)/1000</f>
        <v>7.5</v>
      </c>
      <c r="L353" s="79">
        <f>PRODUCT(SEMANAL!$E63,L$348)/1000+PRODUCT(SEMANAL!$C63,L$349)/1000</f>
        <v>6.15</v>
      </c>
      <c r="M353" s="79">
        <f>PRODUCT(SEMANAL!$E63,M$348)/1000+PRODUCT(SEMANAL!$C63,M$349)/1000</f>
        <v>3.9</v>
      </c>
      <c r="N353" s="79">
        <f>PRODUCT(SEMANAL!$E63,N$348)/1000+PRODUCT(SEMANAL!$C63,N$349)/1000</f>
        <v>8.5</v>
      </c>
      <c r="O353" s="1">
        <f>SUM('OC CAR y PAN AZUL 2'!B84:N84)</f>
        <v>76</v>
      </c>
      <c r="P353" s="1">
        <v>3800</v>
      </c>
      <c r="Q353" s="1">
        <f t="shared" si="17"/>
        <v>288800</v>
      </c>
      <c r="R353" s="83"/>
      <c r="S353" s="83"/>
      <c r="T353" s="1"/>
      <c r="U353" s="1"/>
      <c r="V353" s="1"/>
      <c r="W353" s="1"/>
      <c r="X353" s="1"/>
      <c r="Y353" s="1"/>
      <c r="Z353" s="1"/>
    </row>
    <row r="354" spans="1:26" ht="14.25" customHeight="1">
      <c r="A354" s="81" t="s">
        <v>186</v>
      </c>
      <c r="B354" s="79">
        <f>PRODUCT(SEMANAL!$E64,B$348)/1000+PRODUCT(SEMANAL!$C64,B$349)/1000</f>
        <v>8.35</v>
      </c>
      <c r="C354" s="79">
        <f>PRODUCT(SEMANAL!$E64,C$348)/1000+PRODUCT(SEMANAL!$C64,C$349)/1000</f>
        <v>7.4</v>
      </c>
      <c r="D354" s="79">
        <f>PRODUCT(SEMANAL!$E64,D$348)/1000+PRODUCT(SEMANAL!$C64,D$349)/1000</f>
        <v>0.35</v>
      </c>
      <c r="E354" s="79">
        <f>PRODUCT(SEMANAL!$E64,E$348)/1000+PRODUCT(SEMANAL!$C64,E$349)/1000</f>
        <v>8.9</v>
      </c>
      <c r="F354" s="79">
        <f>PRODUCT(SEMANAL!$E64,F$348)/1000+PRODUCT(SEMANAL!$C64,F$349)/1000</f>
        <v>5.4</v>
      </c>
      <c r="G354" s="79">
        <f>PRODUCT(SEMANAL!$E64,G$348)/1000+PRODUCT(SEMANAL!$C64,G$349)/1000</f>
        <v>1.75</v>
      </c>
      <c r="H354" s="79">
        <f>PRODUCT(SEMANAL!$E64,H$348)/1000+PRODUCT(SEMANAL!$C64,H$349)/1000</f>
        <v>7.45</v>
      </c>
      <c r="I354" s="79">
        <f>PRODUCT(SEMANAL!$E64,I$348)/1000+PRODUCT(SEMANAL!$C64,I$349)/1000</f>
        <v>4.95</v>
      </c>
      <c r="J354" s="79">
        <f>PRODUCT(SEMANAL!$E64,J$348)/1000+PRODUCT(SEMANAL!$C64,J$349)/1000</f>
        <v>1.65</v>
      </c>
      <c r="K354" s="79">
        <f>PRODUCT(SEMANAL!$E64,K$348)/1000+PRODUCT(SEMANAL!$C64,K$349)/1000</f>
        <v>7.5</v>
      </c>
      <c r="L354" s="79">
        <f>PRODUCT(SEMANAL!$E64,L$348)/1000+PRODUCT(SEMANAL!$C64,L$349)/1000</f>
        <v>6.15</v>
      </c>
      <c r="M354" s="79">
        <f>PRODUCT(SEMANAL!$E64,M$348)/1000+PRODUCT(SEMANAL!$C64,M$349)/1000</f>
        <v>3.9</v>
      </c>
      <c r="N354" s="79">
        <f>PRODUCT(SEMANAL!$E64,N$348)/1000+PRODUCT(SEMANAL!$C64,N$349)/1000</f>
        <v>8.5</v>
      </c>
      <c r="O354" s="1">
        <f>SUM('OC CAR y PAN AZUL 2'!B85:N85)</f>
        <v>78</v>
      </c>
      <c r="P354" s="1">
        <v>3800</v>
      </c>
      <c r="Q354" s="1">
        <f t="shared" si="17"/>
        <v>296400</v>
      </c>
      <c r="R354" s="83"/>
      <c r="S354" s="83"/>
      <c r="T354" s="1"/>
      <c r="U354" s="1"/>
      <c r="V354" s="1"/>
      <c r="W354" s="1"/>
      <c r="X354" s="1"/>
      <c r="Y354" s="1"/>
      <c r="Z354" s="1"/>
    </row>
    <row r="355" spans="1:26" ht="14.25" customHeight="1">
      <c r="A355" s="81" t="s">
        <v>187</v>
      </c>
      <c r="B355" s="79">
        <f>PRODUCT(SEMANAL!$E65,B$348)/1000+PRODUCT(SEMANAL!$C65,B$349)/1000</f>
        <v>0</v>
      </c>
      <c r="C355" s="79">
        <f>PRODUCT(SEMANAL!$E65,C$348)/1000+PRODUCT(SEMANAL!$C65,C$349)/1000</f>
        <v>0</v>
      </c>
      <c r="D355" s="79">
        <f>PRODUCT(SEMANAL!$E65,D$348)/1000+PRODUCT(SEMANAL!$C65,D$349)/1000</f>
        <v>0</v>
      </c>
      <c r="E355" s="79">
        <f>PRODUCT(SEMANAL!$E65,E$348)/1000+PRODUCT(SEMANAL!$C65,E$349)/1000</f>
        <v>0</v>
      </c>
      <c r="F355" s="79">
        <f>PRODUCT(SEMANAL!$E65,F$348)/1000+PRODUCT(SEMANAL!$C65,F$349)/1000</f>
        <v>0</v>
      </c>
      <c r="G355" s="79">
        <f>PRODUCT(SEMANAL!$E65,G$348)/1000+PRODUCT(SEMANAL!$C65,G$349)/1000</f>
        <v>0</v>
      </c>
      <c r="H355" s="79">
        <f>PRODUCT(SEMANAL!$E65,H$348)/1000+PRODUCT(SEMANAL!$C65,H$349)/1000</f>
        <v>0</v>
      </c>
      <c r="I355" s="79">
        <f>PRODUCT(SEMANAL!$E65,I$348)/1000+PRODUCT(SEMANAL!$C65,I$349)/1000</f>
        <v>0</v>
      </c>
      <c r="J355" s="79">
        <f>PRODUCT(SEMANAL!$E65,J$348)/1000+PRODUCT(SEMANAL!$C65,J$349)/1000</f>
        <v>0</v>
      </c>
      <c r="K355" s="79">
        <f>PRODUCT(SEMANAL!$E65,K$348)/1000+PRODUCT(SEMANAL!$C65,K$349)/1000</f>
        <v>0</v>
      </c>
      <c r="L355" s="79">
        <f>PRODUCT(SEMANAL!$E65,L$348)/1000+PRODUCT(SEMANAL!$C65,L$349)/1000</f>
        <v>0</v>
      </c>
      <c r="M355" s="79">
        <f>PRODUCT(SEMANAL!$E65,M$348)/1000+PRODUCT(SEMANAL!$C65,M$349)/1000</f>
        <v>0</v>
      </c>
      <c r="N355" s="79">
        <f>PRODUCT(SEMANAL!$E65,N$348)/1000+PRODUCT(SEMANAL!$C65,N$349)/1000</f>
        <v>0</v>
      </c>
      <c r="O355" s="1">
        <f>SUM('OC CAR y PAN AZUL 2'!B86:N86)</f>
        <v>0</v>
      </c>
      <c r="P355" s="1">
        <v>3800</v>
      </c>
      <c r="Q355" s="1">
        <f t="shared" si="17"/>
        <v>0</v>
      </c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 t="s">
        <v>33</v>
      </c>
      <c r="Q356" s="1">
        <f>SUM(Q350:Q355)</f>
        <v>1466800</v>
      </c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26" t="s">
        <v>63</v>
      </c>
      <c r="C357" s="67" t="s">
        <v>64</v>
      </c>
      <c r="D357" s="67" t="s">
        <v>65</v>
      </c>
      <c r="E357" s="64" t="s">
        <v>66</v>
      </c>
      <c r="F357" s="34" t="s">
        <v>67</v>
      </c>
      <c r="G357" s="65" t="s">
        <v>68</v>
      </c>
      <c r="H357" s="26">
        <v>502</v>
      </c>
      <c r="I357" s="26">
        <v>503</v>
      </c>
      <c r="J357" s="26">
        <v>504</v>
      </c>
      <c r="K357" s="26">
        <v>505</v>
      </c>
      <c r="L357" s="66" t="s">
        <v>69</v>
      </c>
      <c r="M357" s="67" t="s">
        <v>70</v>
      </c>
      <c r="N357" s="67" t="s">
        <v>71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36" t="s">
        <v>34</v>
      </c>
      <c r="C358" s="37"/>
      <c r="D358" s="37"/>
      <c r="E358" s="36" t="s">
        <v>72</v>
      </c>
      <c r="F358" s="38"/>
      <c r="G358" s="68"/>
      <c r="H358" s="37"/>
      <c r="I358" s="37"/>
      <c r="J358" s="37"/>
      <c r="K358" s="37"/>
      <c r="L358" s="37"/>
      <c r="M358" s="37"/>
      <c r="N358" s="37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9">
        <v>68</v>
      </c>
      <c r="C359" s="40">
        <v>566</v>
      </c>
      <c r="D359" s="19">
        <v>850</v>
      </c>
      <c r="E359" s="19">
        <v>121</v>
      </c>
      <c r="F359" s="19">
        <v>100</v>
      </c>
      <c r="G359" s="19">
        <v>108</v>
      </c>
      <c r="H359" s="19">
        <v>124</v>
      </c>
      <c r="I359" s="19">
        <v>46</v>
      </c>
      <c r="J359" s="19">
        <v>50</v>
      </c>
      <c r="K359" s="19">
        <v>104</v>
      </c>
      <c r="L359" s="19">
        <v>60</v>
      </c>
      <c r="M359" s="19">
        <v>42</v>
      </c>
      <c r="N359" s="19">
        <v>103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9">
        <v>68</v>
      </c>
      <c r="C360" s="41">
        <v>160</v>
      </c>
      <c r="D360" s="19">
        <v>0</v>
      </c>
      <c r="E360" s="19">
        <v>0</v>
      </c>
      <c r="F360" s="19">
        <v>100</v>
      </c>
      <c r="G360" s="19">
        <v>54</v>
      </c>
      <c r="H360" s="19">
        <v>62</v>
      </c>
      <c r="I360" s="19">
        <v>23</v>
      </c>
      <c r="J360" s="19">
        <v>25</v>
      </c>
      <c r="K360" s="19">
        <v>52</v>
      </c>
      <c r="L360" s="19">
        <v>30</v>
      </c>
      <c r="M360" s="19">
        <v>19</v>
      </c>
      <c r="N360" s="19">
        <v>103</v>
      </c>
      <c r="O360" s="1"/>
      <c r="P360" s="1" t="s">
        <v>18</v>
      </c>
      <c r="Q360" s="1" t="s">
        <v>181</v>
      </c>
      <c r="R360" s="82"/>
      <c r="S360" s="82"/>
      <c r="T360" s="1"/>
      <c r="U360" s="1"/>
      <c r="V360" s="1"/>
      <c r="W360" s="1"/>
      <c r="X360" s="1"/>
      <c r="Y360" s="1"/>
      <c r="Z360" s="1"/>
    </row>
    <row r="361" spans="1:26" ht="14.25" customHeight="1">
      <c r="A361" s="78" t="s">
        <v>182</v>
      </c>
      <c r="B361" s="79">
        <f>PRODUCT(SEMANAL!$E60,B$359)/1000+PRODUCT(SEMANAL!$C60,B$360)/1000</f>
        <v>3.4</v>
      </c>
      <c r="C361" s="79">
        <f>PRODUCT(SEMANAL!$E60,C$359)/1000+PRODUCT(SEMANAL!$C60,C$360)/1000</f>
        <v>28.3</v>
      </c>
      <c r="D361" s="79">
        <f>PRODUCT(SEMANAL!$E60,D$359)/1000+PRODUCT(SEMANAL!$C60,D$360)/1000</f>
        <v>42.5</v>
      </c>
      <c r="E361" s="79">
        <f>PRODUCT(SEMANAL!$E60,E$359)/1000+PRODUCT(SEMANAL!$C60,E$360)/1000</f>
        <v>6.05</v>
      </c>
      <c r="F361" s="79">
        <f>PRODUCT(SEMANAL!$E60,F$359)/1000+PRODUCT(SEMANAL!$C60,F$360)/1000</f>
        <v>5</v>
      </c>
      <c r="G361" s="79">
        <f>PRODUCT(SEMANAL!$E60,G$359)/1000+PRODUCT(SEMANAL!$C60,G$360)/1000</f>
        <v>5.4</v>
      </c>
      <c r="H361" s="79">
        <f>PRODUCT(SEMANAL!$E60,H$359)/1000+PRODUCT(SEMANAL!$C60,H$360)/1000</f>
        <v>6.2</v>
      </c>
      <c r="I361" s="79">
        <f>PRODUCT(SEMANAL!$E60,I$359)/1000+PRODUCT(SEMANAL!$C60,I$360)/1000</f>
        <v>2.2999999999999998</v>
      </c>
      <c r="J361" s="79">
        <f>PRODUCT(SEMANAL!$E60,J$359)/1000+PRODUCT(SEMANAL!$C60,J$360)/1000</f>
        <v>2.5</v>
      </c>
      <c r="K361" s="79">
        <f>PRODUCT(SEMANAL!$E60,K$359)/1000+PRODUCT(SEMANAL!$C60,K$360)/1000</f>
        <v>5.2</v>
      </c>
      <c r="L361" s="79">
        <f>PRODUCT(SEMANAL!$E60,L$359)/1000+PRODUCT(SEMANAL!$C60,L$360)/1000</f>
        <v>3</v>
      </c>
      <c r="M361" s="79">
        <f>PRODUCT(SEMANAL!$E60,M$359)/1000+PRODUCT(SEMANAL!$C60,M$360)/1000</f>
        <v>2.1</v>
      </c>
      <c r="N361" s="79">
        <f>PRODUCT(SEMANAL!$E60,N$359)/1000+PRODUCT(SEMANAL!$C60,N$360)/1000</f>
        <v>5.15</v>
      </c>
      <c r="O361" s="1">
        <f>SUM('OC CAR y PAN AZUL 2'!B92:N92)</f>
        <v>119</v>
      </c>
      <c r="P361" s="1">
        <v>3800</v>
      </c>
      <c r="Q361" s="1">
        <f t="shared" ref="Q361:Q366" si="18">PRODUCT(O361:P361)</f>
        <v>452200</v>
      </c>
      <c r="R361" s="83"/>
      <c r="S361" s="83"/>
      <c r="T361" s="1"/>
      <c r="U361" s="1"/>
      <c r="V361" s="1"/>
      <c r="W361" s="1"/>
      <c r="X361" s="1"/>
      <c r="Y361" s="1"/>
      <c r="Z361" s="1"/>
    </row>
    <row r="362" spans="1:26" ht="14.25" customHeight="1">
      <c r="A362" s="78" t="s">
        <v>183</v>
      </c>
      <c r="B362" s="79">
        <f>PRODUCT(SEMANAL!$E61,B$359)/1000+PRODUCT(SEMANAL!$C61,B$360)/1000</f>
        <v>3.4</v>
      </c>
      <c r="C362" s="79">
        <f>PRODUCT(SEMANAL!$E61,C$359)/1000+PRODUCT(SEMANAL!$C61,C$360)/1000</f>
        <v>28.3</v>
      </c>
      <c r="D362" s="79">
        <f>PRODUCT(SEMANAL!$E61,D$359)/1000+PRODUCT(SEMANAL!$C61,D$360)/1000</f>
        <v>42.5</v>
      </c>
      <c r="E362" s="79">
        <f>PRODUCT(SEMANAL!$E61,E$359)/1000+PRODUCT(SEMANAL!$C61,E$360)/1000</f>
        <v>6.05</v>
      </c>
      <c r="F362" s="79">
        <f>PRODUCT(SEMANAL!$E61,F$359)/1000+PRODUCT(SEMANAL!$C61,F$360)/1000</f>
        <v>5</v>
      </c>
      <c r="G362" s="79">
        <f>PRODUCT(SEMANAL!$E61,G$359)/1000+PRODUCT(SEMANAL!$C61,G$360)/1000</f>
        <v>5.4</v>
      </c>
      <c r="H362" s="79">
        <f>PRODUCT(SEMANAL!$E61,H$359)/1000+PRODUCT(SEMANAL!$C61,H$360)/1000</f>
        <v>6.2</v>
      </c>
      <c r="I362" s="79">
        <f>PRODUCT(SEMANAL!$E61,I$359)/1000+PRODUCT(SEMANAL!$C61,I$360)/1000</f>
        <v>2.2999999999999998</v>
      </c>
      <c r="J362" s="79">
        <f>PRODUCT(SEMANAL!$E61,J$359)/1000+PRODUCT(SEMANAL!$C61,J$360)/1000</f>
        <v>2.5</v>
      </c>
      <c r="K362" s="79">
        <f>PRODUCT(SEMANAL!$E61,K$359)/1000+PRODUCT(SEMANAL!$C61,K$360)/1000</f>
        <v>5.2</v>
      </c>
      <c r="L362" s="79">
        <f>PRODUCT(SEMANAL!$E61,L$359)/1000+PRODUCT(SEMANAL!$C61,L$360)/1000</f>
        <v>3</v>
      </c>
      <c r="M362" s="79">
        <f>PRODUCT(SEMANAL!$E61,M$359)/1000+PRODUCT(SEMANAL!$C61,M$360)/1000</f>
        <v>2.1</v>
      </c>
      <c r="N362" s="79">
        <f>PRODUCT(SEMANAL!$E61,N$359)/1000+PRODUCT(SEMANAL!$C61,N$360)/1000</f>
        <v>5.15</v>
      </c>
      <c r="O362" s="1">
        <f>SUM('OC CAR y PAN AZUL 2'!B93:N93)</f>
        <v>121</v>
      </c>
      <c r="P362" s="1">
        <v>3800</v>
      </c>
      <c r="Q362" s="1">
        <f t="shared" si="18"/>
        <v>459800</v>
      </c>
      <c r="R362" s="83"/>
      <c r="S362" s="83"/>
      <c r="T362" s="1"/>
      <c r="U362" s="1"/>
      <c r="V362" s="1"/>
      <c r="W362" s="1"/>
      <c r="X362" s="1"/>
      <c r="Y362" s="1"/>
      <c r="Z362" s="1"/>
    </row>
    <row r="363" spans="1:26" ht="14.25" customHeight="1">
      <c r="A363" s="78" t="s">
        <v>184</v>
      </c>
      <c r="B363" s="79">
        <f>PRODUCT(SEMANAL!$E62,B$359)/1000+PRODUCT(SEMANAL!$C62,B$360)/1000</f>
        <v>3.4</v>
      </c>
      <c r="C363" s="79">
        <f>PRODUCT(SEMANAL!$E62,C$359)/1000+PRODUCT(SEMANAL!$C62,C$360)/1000</f>
        <v>28.3</v>
      </c>
      <c r="D363" s="79">
        <f>PRODUCT(SEMANAL!$E62,D$359)/1000+PRODUCT(SEMANAL!$C62,D$360)/1000</f>
        <v>42.5</v>
      </c>
      <c r="E363" s="79">
        <f>PRODUCT(SEMANAL!$E62,E$359)/1000+PRODUCT(SEMANAL!$C62,E$360)/1000</f>
        <v>6.05</v>
      </c>
      <c r="F363" s="79">
        <f>PRODUCT(SEMANAL!$E62,F$359)/1000+PRODUCT(SEMANAL!$C62,F$360)/1000</f>
        <v>5</v>
      </c>
      <c r="G363" s="79">
        <f>PRODUCT(SEMANAL!$E62,G$359)/1000+PRODUCT(SEMANAL!$C62,G$360)/1000</f>
        <v>5.4</v>
      </c>
      <c r="H363" s="79">
        <f>PRODUCT(SEMANAL!$E62,H$359)/1000+PRODUCT(SEMANAL!$C62,H$360)/1000</f>
        <v>6.2</v>
      </c>
      <c r="I363" s="79">
        <f>PRODUCT(SEMANAL!$E62,I$359)/1000+PRODUCT(SEMANAL!$C62,I$360)/1000</f>
        <v>2.2999999999999998</v>
      </c>
      <c r="J363" s="79">
        <f>PRODUCT(SEMANAL!$E62,J$359)/1000+PRODUCT(SEMANAL!$C62,J$360)/1000</f>
        <v>2.5</v>
      </c>
      <c r="K363" s="79">
        <f>PRODUCT(SEMANAL!$E62,K$359)/1000+PRODUCT(SEMANAL!$C62,K$360)/1000</f>
        <v>5.2</v>
      </c>
      <c r="L363" s="79">
        <f>PRODUCT(SEMANAL!$E62,L$359)/1000+PRODUCT(SEMANAL!$C62,L$360)/1000</f>
        <v>3</v>
      </c>
      <c r="M363" s="79">
        <f>PRODUCT(SEMANAL!$E62,M$359)/1000+PRODUCT(SEMANAL!$C62,M$360)/1000</f>
        <v>2.1</v>
      </c>
      <c r="N363" s="79">
        <f>PRODUCT(SEMANAL!$E62,N$359)/1000+PRODUCT(SEMANAL!$C62,N$360)/1000</f>
        <v>5.15</v>
      </c>
      <c r="O363" s="1">
        <f>SUM('OC CAR y PAN AZUL 2'!B94:N94)</f>
        <v>119</v>
      </c>
      <c r="P363" s="1">
        <v>3800</v>
      </c>
      <c r="Q363" s="1">
        <f t="shared" si="18"/>
        <v>452200</v>
      </c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81" t="s">
        <v>185</v>
      </c>
      <c r="B364" s="79">
        <f>PRODUCT(SEMANAL!$E63,B$359)/1000+PRODUCT(SEMANAL!$C63,B$360)/1000</f>
        <v>3.4</v>
      </c>
      <c r="C364" s="79">
        <f>PRODUCT(SEMANAL!$E63,C$359)/1000+PRODUCT(SEMANAL!$C63,C$360)/1000</f>
        <v>28.3</v>
      </c>
      <c r="D364" s="79">
        <f>PRODUCT(SEMANAL!$E63,D$359)/1000+PRODUCT(SEMANAL!$C63,D$360)/1000</f>
        <v>42.5</v>
      </c>
      <c r="E364" s="79">
        <f>PRODUCT(SEMANAL!$E63,E$359)/1000+PRODUCT(SEMANAL!$C63,E$360)/1000</f>
        <v>6.05</v>
      </c>
      <c r="F364" s="79">
        <f>PRODUCT(SEMANAL!$E63,F$359)/1000+PRODUCT(SEMANAL!$C63,F$360)/1000</f>
        <v>5</v>
      </c>
      <c r="G364" s="79">
        <f>PRODUCT(SEMANAL!$E63,G$359)/1000+PRODUCT(SEMANAL!$C63,G$360)/1000</f>
        <v>5.4</v>
      </c>
      <c r="H364" s="79">
        <f>PRODUCT(SEMANAL!$E63,H$359)/1000+PRODUCT(SEMANAL!$C63,H$360)/1000</f>
        <v>6.2</v>
      </c>
      <c r="I364" s="79">
        <f>PRODUCT(SEMANAL!$E63,I$359)/1000+PRODUCT(SEMANAL!$C63,I$360)/1000</f>
        <v>2.2999999999999998</v>
      </c>
      <c r="J364" s="79">
        <f>PRODUCT(SEMANAL!$E63,J$359)/1000+PRODUCT(SEMANAL!$C63,J$360)/1000</f>
        <v>2.5</v>
      </c>
      <c r="K364" s="79">
        <f>PRODUCT(SEMANAL!$E63,K$359)/1000+PRODUCT(SEMANAL!$C63,K$360)/1000</f>
        <v>5.2</v>
      </c>
      <c r="L364" s="79">
        <f>PRODUCT(SEMANAL!$E63,L$359)/1000+PRODUCT(SEMANAL!$C63,L$360)/1000</f>
        <v>3</v>
      </c>
      <c r="M364" s="79">
        <f>PRODUCT(SEMANAL!$E63,M$359)/1000+PRODUCT(SEMANAL!$C63,M$360)/1000</f>
        <v>2.1</v>
      </c>
      <c r="N364" s="79">
        <f>PRODUCT(SEMANAL!$E63,N$359)/1000+PRODUCT(SEMANAL!$C63,N$360)/1000</f>
        <v>5.15</v>
      </c>
      <c r="O364" s="1">
        <f>SUM('OC CAR y PAN AZUL 2'!B95:N95)</f>
        <v>121</v>
      </c>
      <c r="P364" s="1">
        <v>3800</v>
      </c>
      <c r="Q364" s="1">
        <f t="shared" si="18"/>
        <v>459800</v>
      </c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81" t="s">
        <v>186</v>
      </c>
      <c r="B365" s="79">
        <f>PRODUCT(SEMANAL!$E64,B$359)/1000+PRODUCT(SEMANAL!$C64,B$360)/1000</f>
        <v>3.4</v>
      </c>
      <c r="C365" s="79">
        <f>PRODUCT(SEMANAL!$E64,C$359)/1000+PRODUCT(SEMANAL!$C64,C$360)/1000</f>
        <v>28.3</v>
      </c>
      <c r="D365" s="79">
        <f>PRODUCT(SEMANAL!$E64,D$359)/1000+PRODUCT(SEMANAL!$C64,D$360)/1000</f>
        <v>42.5</v>
      </c>
      <c r="E365" s="79">
        <f>PRODUCT(SEMANAL!$E64,E$359)/1000+PRODUCT(SEMANAL!$C64,E$360)/1000</f>
        <v>6.05</v>
      </c>
      <c r="F365" s="79">
        <f>PRODUCT(SEMANAL!$E64,F$359)/1000+PRODUCT(SEMANAL!$C64,F$360)/1000</f>
        <v>5</v>
      </c>
      <c r="G365" s="79">
        <f>PRODUCT(SEMANAL!$E64,G$359)/1000+PRODUCT(SEMANAL!$C64,G$360)/1000</f>
        <v>5.4</v>
      </c>
      <c r="H365" s="79">
        <f>PRODUCT(SEMANAL!$E64,H$359)/1000+PRODUCT(SEMANAL!$C64,H$360)/1000</f>
        <v>6.2</v>
      </c>
      <c r="I365" s="79">
        <f>PRODUCT(SEMANAL!$E64,I$359)/1000+PRODUCT(SEMANAL!$C64,I$360)/1000</f>
        <v>2.2999999999999998</v>
      </c>
      <c r="J365" s="79">
        <f>PRODUCT(SEMANAL!$E64,J$359)/1000+PRODUCT(SEMANAL!$C64,J$360)/1000</f>
        <v>2.5</v>
      </c>
      <c r="K365" s="79">
        <f>PRODUCT(SEMANAL!$E64,K$359)/1000+PRODUCT(SEMANAL!$C64,K$360)/1000</f>
        <v>5.2</v>
      </c>
      <c r="L365" s="79">
        <f>PRODUCT(SEMANAL!$E64,L$359)/1000+PRODUCT(SEMANAL!$C64,L$360)/1000</f>
        <v>3</v>
      </c>
      <c r="M365" s="79">
        <f>PRODUCT(SEMANAL!$E64,M$359)/1000+PRODUCT(SEMANAL!$C64,M$360)/1000</f>
        <v>2.1</v>
      </c>
      <c r="N365" s="79">
        <f>PRODUCT(SEMANAL!$E64,N$359)/1000+PRODUCT(SEMANAL!$C64,N$360)/1000</f>
        <v>5.15</v>
      </c>
      <c r="O365" s="1">
        <f>SUM('OC CAR y PAN AZUL 2'!B96:N96)</f>
        <v>119</v>
      </c>
      <c r="P365" s="1">
        <v>3800</v>
      </c>
      <c r="Q365" s="1">
        <f t="shared" si="18"/>
        <v>452200</v>
      </c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81" t="s">
        <v>187</v>
      </c>
      <c r="B366" s="79">
        <f>PRODUCT(SEMANAL!$E65,B$359)/1000+PRODUCT(SEMANAL!$C65,B$360)/1000</f>
        <v>0</v>
      </c>
      <c r="C366" s="79">
        <f>PRODUCT(SEMANAL!$E65,C$359)/1000+PRODUCT(SEMANAL!$C65,C$360)/1000</f>
        <v>0</v>
      </c>
      <c r="D366" s="79">
        <f>PRODUCT(SEMANAL!$E65,D$359)/1000+PRODUCT(SEMANAL!$C65,D$360)/1000</f>
        <v>0</v>
      </c>
      <c r="E366" s="79">
        <f>PRODUCT(SEMANAL!$E65,E$359)/1000+PRODUCT(SEMANAL!$C65,E$360)/1000</f>
        <v>0</v>
      </c>
      <c r="F366" s="79">
        <f>PRODUCT(SEMANAL!$E65,F$359)/1000+PRODUCT(SEMANAL!$C65,F$360)/1000</f>
        <v>0</v>
      </c>
      <c r="G366" s="79">
        <f>PRODUCT(SEMANAL!$E65,G$359)/1000+PRODUCT(SEMANAL!$C65,G$360)/1000</f>
        <v>0</v>
      </c>
      <c r="H366" s="79">
        <f>PRODUCT(SEMANAL!$E65,H$359)/1000+PRODUCT(SEMANAL!$C65,H$360)/1000</f>
        <v>0</v>
      </c>
      <c r="I366" s="79">
        <f>PRODUCT(SEMANAL!$E65,I$359)/1000+PRODUCT(SEMANAL!$C65,I$360)/1000</f>
        <v>0</v>
      </c>
      <c r="J366" s="79">
        <f>PRODUCT(SEMANAL!$E65,J$359)/1000+PRODUCT(SEMANAL!$C65,J$360)/1000</f>
        <v>0</v>
      </c>
      <c r="K366" s="79">
        <f>PRODUCT(SEMANAL!$E65,K$359)/1000+PRODUCT(SEMANAL!$C65,K$360)/1000</f>
        <v>0</v>
      </c>
      <c r="L366" s="79">
        <f>PRODUCT(SEMANAL!$E65,L$359)/1000+PRODUCT(SEMANAL!$C65,L$360)/1000</f>
        <v>0</v>
      </c>
      <c r="M366" s="79">
        <f>PRODUCT(SEMANAL!$E65,M$359)/1000+PRODUCT(SEMANAL!$C65,M$360)/1000</f>
        <v>0</v>
      </c>
      <c r="N366" s="79">
        <f>PRODUCT(SEMANAL!$E65,N$359)/1000+PRODUCT(SEMANAL!$C65,N$360)/1000</f>
        <v>0</v>
      </c>
      <c r="O366" s="1">
        <f>SUM('OC CAR y PAN AZUL 2'!B97:N97)</f>
        <v>0</v>
      </c>
      <c r="P366" s="1">
        <v>3800</v>
      </c>
      <c r="Q366" s="1">
        <f t="shared" si="18"/>
        <v>0</v>
      </c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 t="s">
        <v>33</v>
      </c>
      <c r="Q367" s="1">
        <f>SUM(Q361:Q366)</f>
        <v>2276200</v>
      </c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26" t="s">
        <v>73</v>
      </c>
      <c r="C368" s="26" t="s">
        <v>74</v>
      </c>
      <c r="D368" s="26" t="s">
        <v>75</v>
      </c>
      <c r="E368" s="26" t="s">
        <v>76</v>
      </c>
      <c r="F368" s="26" t="s">
        <v>77</v>
      </c>
      <c r="G368" s="26" t="s">
        <v>78</v>
      </c>
      <c r="H368" s="26" t="s">
        <v>79</v>
      </c>
      <c r="I368" s="26" t="s">
        <v>80</v>
      </c>
      <c r="J368" s="26" t="s">
        <v>81</v>
      </c>
      <c r="K368" s="26" t="s">
        <v>82</v>
      </c>
      <c r="L368" s="26" t="s">
        <v>83</v>
      </c>
      <c r="M368" s="26" t="s">
        <v>84</v>
      </c>
      <c r="N368" s="27" t="s">
        <v>85</v>
      </c>
      <c r="O368" s="26" t="s">
        <v>86</v>
      </c>
      <c r="P368" s="26" t="s">
        <v>87</v>
      </c>
      <c r="Q368" s="26" t="s">
        <v>88</v>
      </c>
      <c r="R368" s="82"/>
      <c r="S368" s="1"/>
      <c r="T368" s="1"/>
      <c r="U368" s="1"/>
      <c r="V368" s="1"/>
      <c r="W368" s="1"/>
      <c r="X368" s="1"/>
      <c r="Y368" s="1"/>
      <c r="Z368" s="1"/>
    </row>
    <row r="369" spans="1:30" ht="14.25" customHeight="1">
      <c r="A369" s="1"/>
      <c r="B369" s="19">
        <v>160</v>
      </c>
      <c r="C369" s="19">
        <v>80</v>
      </c>
      <c r="D369" s="19">
        <v>156</v>
      </c>
      <c r="E369" s="19">
        <v>97</v>
      </c>
      <c r="F369" s="19">
        <v>2</v>
      </c>
      <c r="G369" s="19">
        <v>78</v>
      </c>
      <c r="H369" s="19">
        <v>69</v>
      </c>
      <c r="I369" s="19">
        <v>61</v>
      </c>
      <c r="J369" s="19">
        <v>131</v>
      </c>
      <c r="K369" s="19">
        <v>75</v>
      </c>
      <c r="L369" s="19">
        <v>66</v>
      </c>
      <c r="M369" s="19">
        <v>80</v>
      </c>
      <c r="N369" s="19">
        <v>71</v>
      </c>
      <c r="O369" s="19">
        <v>69</v>
      </c>
      <c r="P369" s="19">
        <v>42</v>
      </c>
      <c r="Q369" s="45">
        <v>70</v>
      </c>
      <c r="R369" s="83"/>
      <c r="S369" s="1"/>
      <c r="T369" s="1"/>
      <c r="U369" s="1"/>
      <c r="V369" s="1"/>
      <c r="W369" s="1"/>
      <c r="X369" s="1"/>
      <c r="Y369" s="1"/>
      <c r="Z369" s="1"/>
    </row>
    <row r="370" spans="1:30" ht="14.25" customHeight="1">
      <c r="A370" s="1"/>
      <c r="B370" s="19">
        <v>0</v>
      </c>
      <c r="C370" s="19">
        <v>0</v>
      </c>
      <c r="D370" s="19">
        <v>0</v>
      </c>
      <c r="E370" s="19">
        <v>0</v>
      </c>
      <c r="F370" s="19">
        <v>0</v>
      </c>
      <c r="G370" s="19">
        <v>0</v>
      </c>
      <c r="H370" s="19">
        <v>0</v>
      </c>
      <c r="I370" s="19">
        <v>0</v>
      </c>
      <c r="J370" s="19">
        <v>40</v>
      </c>
      <c r="K370" s="19">
        <v>0</v>
      </c>
      <c r="L370" s="19">
        <v>0</v>
      </c>
      <c r="M370" s="19">
        <v>0</v>
      </c>
      <c r="N370" s="19">
        <v>0</v>
      </c>
      <c r="O370" s="19">
        <v>0</v>
      </c>
      <c r="P370" s="19">
        <v>0</v>
      </c>
      <c r="Q370" s="147">
        <v>0</v>
      </c>
      <c r="R370" s="83"/>
      <c r="S370" s="1" t="s">
        <v>18</v>
      </c>
      <c r="T370" s="1" t="s">
        <v>181</v>
      </c>
      <c r="U370" s="1"/>
      <c r="V370" s="1"/>
      <c r="W370" s="1"/>
      <c r="X370" s="1"/>
      <c r="Y370" s="1"/>
      <c r="Z370" s="1"/>
    </row>
    <row r="371" spans="1:30" ht="14.25" customHeight="1">
      <c r="A371" s="78" t="s">
        <v>182</v>
      </c>
      <c r="B371" s="79">
        <f>PRODUCT(SEMANAL!$E60,B$369)/1000+PRODUCT(SEMANAL!$C60,B$370)/1000</f>
        <v>8</v>
      </c>
      <c r="C371" s="79">
        <f>PRODUCT(SEMANAL!$E60,C$369)/1000+PRODUCT(SEMANAL!$C60,C$370)/1000</f>
        <v>4</v>
      </c>
      <c r="D371" s="79">
        <f>PRODUCT(SEMANAL!$E60,D$369)/1000+PRODUCT(SEMANAL!$C60,D$370)/1000</f>
        <v>7.8</v>
      </c>
      <c r="E371" s="79">
        <f>PRODUCT(SEMANAL!$E60,E$369)/1000+PRODUCT(SEMANAL!$C60,E$370)/1000</f>
        <v>4.8499999999999996</v>
      </c>
      <c r="F371" s="79">
        <f>PRODUCT(SEMANAL!$E60,F$369)/1000+PRODUCT(SEMANAL!$C60,F$370)/1000</f>
        <v>0.1</v>
      </c>
      <c r="G371" s="79">
        <f>PRODUCT(SEMANAL!$E60,G$369)/1000+PRODUCT(SEMANAL!$C60,G$370)/1000</f>
        <v>3.9</v>
      </c>
      <c r="H371" s="79">
        <f>PRODUCT(SEMANAL!$E60,H$369)/1000+PRODUCT(SEMANAL!$C60,H$370)/1000</f>
        <v>3.45</v>
      </c>
      <c r="I371" s="79">
        <f>PRODUCT(SEMANAL!$E60,I$369)/1000+PRODUCT(SEMANAL!$C60,I$370)/1000</f>
        <v>3.05</v>
      </c>
      <c r="J371" s="79">
        <f>PRODUCT(SEMANAL!$E60,J$369)/1000+PRODUCT(SEMANAL!$C60,J$370)/1000</f>
        <v>6.55</v>
      </c>
      <c r="K371" s="79">
        <f>PRODUCT(SEMANAL!$E60,K$369)/1000+PRODUCT(SEMANAL!$C60,K$370)/1000</f>
        <v>3.75</v>
      </c>
      <c r="L371" s="79">
        <f>PRODUCT(SEMANAL!$E60,L$369)/1000+PRODUCT(SEMANAL!$C60,L$370)/1000</f>
        <v>3.3</v>
      </c>
      <c r="M371" s="79">
        <f>PRODUCT(SEMANAL!$E60,M$369)/1000+PRODUCT(SEMANAL!$C60,M$370)/1000</f>
        <v>4</v>
      </c>
      <c r="N371" s="79">
        <f>PRODUCT(SEMANAL!$E60,N$369)/1000+PRODUCT(SEMANAL!$C60,N$370)/1000</f>
        <v>3.55</v>
      </c>
      <c r="O371" s="79">
        <f>PRODUCT(SEMANAL!$E60,O$369)/1000+PRODUCT(SEMANAL!$C60,O$370)/1000</f>
        <v>3.45</v>
      </c>
      <c r="P371" s="79">
        <f>PRODUCT(SEMANAL!$E60,P$369)/1000+PRODUCT(SEMANAL!$C60,P$370)/1000</f>
        <v>2.1</v>
      </c>
      <c r="Q371" s="79">
        <f>PRODUCT(SEMANAL!$E60,Q$369)/1000+PRODUCT(SEMANAL!$C60,Q$370)/1000</f>
        <v>3.5</v>
      </c>
      <c r="R371" s="1">
        <f>SUM('OC CAR y PAN AZUL 2'!B102:Q102)</f>
        <v>60</v>
      </c>
      <c r="S371" s="1">
        <v>3800</v>
      </c>
      <c r="T371" s="1">
        <f t="shared" ref="T371:T376" si="19">PRODUCT(R371:S371)</f>
        <v>228000</v>
      </c>
      <c r="U371" s="1"/>
      <c r="V371" s="1"/>
      <c r="W371" s="1"/>
      <c r="X371" s="1"/>
      <c r="Y371" s="1"/>
      <c r="Z371" s="1"/>
    </row>
    <row r="372" spans="1:30" ht="14.25" customHeight="1">
      <c r="A372" s="78" t="s">
        <v>183</v>
      </c>
      <c r="B372" s="79">
        <f>PRODUCT(SEMANAL!$E61,B$369)/1000+PRODUCT(SEMANAL!$C61,B$370)/1000</f>
        <v>8</v>
      </c>
      <c r="C372" s="79">
        <f>PRODUCT(SEMANAL!$E61,C$369)/1000+PRODUCT(SEMANAL!$C61,C$370)/1000</f>
        <v>4</v>
      </c>
      <c r="D372" s="79">
        <f>PRODUCT(SEMANAL!$E61,D$369)/1000+PRODUCT(SEMANAL!$C61,D$370)/1000</f>
        <v>7.8</v>
      </c>
      <c r="E372" s="79">
        <f>PRODUCT(SEMANAL!$E61,E$369)/1000+PRODUCT(SEMANAL!$C61,E$370)/1000</f>
        <v>4.8499999999999996</v>
      </c>
      <c r="F372" s="79">
        <f>PRODUCT(SEMANAL!$E61,F$369)/1000+PRODUCT(SEMANAL!$C61,F$370)/1000</f>
        <v>0.1</v>
      </c>
      <c r="G372" s="79">
        <f>PRODUCT(SEMANAL!$E61,G$369)/1000+PRODUCT(SEMANAL!$C61,G$370)/1000</f>
        <v>3.9</v>
      </c>
      <c r="H372" s="79">
        <f>PRODUCT(SEMANAL!$E61,H$369)/1000+PRODUCT(SEMANAL!$C61,H$370)/1000</f>
        <v>3.45</v>
      </c>
      <c r="I372" s="79">
        <f>PRODUCT(SEMANAL!$E61,I$369)/1000+PRODUCT(SEMANAL!$C61,I$370)/1000</f>
        <v>3.05</v>
      </c>
      <c r="J372" s="79">
        <f>PRODUCT(SEMANAL!$E61,J$369)/1000+PRODUCT(SEMANAL!$C61,J$370)/1000</f>
        <v>6.55</v>
      </c>
      <c r="K372" s="79">
        <f>PRODUCT(SEMANAL!$E61,K$369)/1000+PRODUCT(SEMANAL!$C61,K$370)/1000</f>
        <v>3.75</v>
      </c>
      <c r="L372" s="79">
        <f>PRODUCT(SEMANAL!$E61,L$369)/1000+PRODUCT(SEMANAL!$C61,L$370)/1000</f>
        <v>3.3</v>
      </c>
      <c r="M372" s="79">
        <f>PRODUCT(SEMANAL!$E61,M$369)/1000+PRODUCT(SEMANAL!$C61,M$370)/1000</f>
        <v>4</v>
      </c>
      <c r="N372" s="79">
        <f>PRODUCT(SEMANAL!$E61,N$369)/1000+PRODUCT(SEMANAL!$C61,N$370)/1000</f>
        <v>3.55</v>
      </c>
      <c r="O372" s="79">
        <f>PRODUCT(SEMANAL!$E61,O$369)/1000+PRODUCT(SEMANAL!$C61,O$370)/1000</f>
        <v>3.45</v>
      </c>
      <c r="P372" s="79">
        <f>PRODUCT(SEMANAL!$E61,P$369)/1000+PRODUCT(SEMANAL!$C61,P$370)/1000</f>
        <v>2.1</v>
      </c>
      <c r="Q372" s="79">
        <f>PRODUCT(SEMANAL!$E61,Q$369)/1000+PRODUCT(SEMANAL!$C61,Q$370)/1000</f>
        <v>3.5</v>
      </c>
      <c r="R372" s="1">
        <f>SUM('OC CAR y PAN AZUL 2'!B103:Q103)</f>
        <v>53</v>
      </c>
      <c r="S372" s="1">
        <v>3800</v>
      </c>
      <c r="T372" s="1">
        <f t="shared" si="19"/>
        <v>201400</v>
      </c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4.25" customHeight="1">
      <c r="A373" s="78" t="s">
        <v>184</v>
      </c>
      <c r="B373" s="79">
        <f>PRODUCT(SEMANAL!$E62,B$369)/1000+PRODUCT(SEMANAL!$C62,B$370)/1000</f>
        <v>8</v>
      </c>
      <c r="C373" s="79">
        <f>PRODUCT(SEMANAL!$E62,C$369)/1000+PRODUCT(SEMANAL!$C62,C$370)/1000</f>
        <v>4</v>
      </c>
      <c r="D373" s="79">
        <f>PRODUCT(SEMANAL!$E62,D$369)/1000+PRODUCT(SEMANAL!$C62,D$370)/1000</f>
        <v>7.8</v>
      </c>
      <c r="E373" s="79">
        <f>PRODUCT(SEMANAL!$E62,E$369)/1000+PRODUCT(SEMANAL!$C62,E$370)/1000</f>
        <v>4.8499999999999996</v>
      </c>
      <c r="F373" s="79">
        <f>PRODUCT(SEMANAL!$E62,F$369)/1000+PRODUCT(SEMANAL!$C62,F$370)/1000</f>
        <v>0.1</v>
      </c>
      <c r="G373" s="79">
        <f>PRODUCT(SEMANAL!$E62,G$369)/1000+PRODUCT(SEMANAL!$C62,G$370)/1000</f>
        <v>3.9</v>
      </c>
      <c r="H373" s="79">
        <f>PRODUCT(SEMANAL!$E62,H$369)/1000+PRODUCT(SEMANAL!$C62,H$370)/1000</f>
        <v>3.45</v>
      </c>
      <c r="I373" s="79">
        <f>PRODUCT(SEMANAL!$E62,I$369)/1000+PRODUCT(SEMANAL!$C62,I$370)/1000</f>
        <v>3.05</v>
      </c>
      <c r="J373" s="79">
        <f>PRODUCT(SEMANAL!$E62,J$369)/1000+PRODUCT(SEMANAL!$C62,J$370)/1000</f>
        <v>6.55</v>
      </c>
      <c r="K373" s="79">
        <f>PRODUCT(SEMANAL!$E62,K$369)/1000+PRODUCT(SEMANAL!$C62,K$370)/1000</f>
        <v>3.75</v>
      </c>
      <c r="L373" s="79">
        <f>PRODUCT(SEMANAL!$E62,L$369)/1000+PRODUCT(SEMANAL!$C62,L$370)/1000</f>
        <v>3.3</v>
      </c>
      <c r="M373" s="79">
        <f>PRODUCT(SEMANAL!$E62,M$369)/1000+PRODUCT(SEMANAL!$C62,M$370)/1000</f>
        <v>4</v>
      </c>
      <c r="N373" s="79">
        <f>PRODUCT(SEMANAL!$E62,N$369)/1000+PRODUCT(SEMANAL!$C62,N$370)/1000</f>
        <v>3.55</v>
      </c>
      <c r="O373" s="79">
        <f>PRODUCT(SEMANAL!$E62,O$369)/1000+PRODUCT(SEMANAL!$C62,O$370)/1000</f>
        <v>3.45</v>
      </c>
      <c r="P373" s="79">
        <f>PRODUCT(SEMANAL!$E62,P$369)/1000+PRODUCT(SEMANAL!$C62,P$370)/1000</f>
        <v>2.1</v>
      </c>
      <c r="Q373" s="79">
        <f>PRODUCT(SEMANAL!$E62,Q$369)/1000+PRODUCT(SEMANAL!$C62,Q$370)/1000</f>
        <v>3.5</v>
      </c>
      <c r="R373" s="1">
        <f>SUM('OC CAR y PAN AZUL 2'!B104:Q104)</f>
        <v>60</v>
      </c>
      <c r="S373" s="1">
        <v>3800</v>
      </c>
      <c r="T373" s="1">
        <f t="shared" si="19"/>
        <v>228000</v>
      </c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4.25" customHeight="1">
      <c r="A374" s="81" t="s">
        <v>185</v>
      </c>
      <c r="B374" s="79">
        <f>PRODUCT(SEMANAL!$E63,B$369)/1000+PRODUCT(SEMANAL!$C63,B$370)/1000</f>
        <v>8</v>
      </c>
      <c r="C374" s="79">
        <f>PRODUCT(SEMANAL!$E63,C$369)/1000+PRODUCT(SEMANAL!$C63,C$370)/1000</f>
        <v>4</v>
      </c>
      <c r="D374" s="79">
        <f>PRODUCT(SEMANAL!$E63,D$369)/1000+PRODUCT(SEMANAL!$C63,D$370)/1000</f>
        <v>7.8</v>
      </c>
      <c r="E374" s="79">
        <f>PRODUCT(SEMANAL!$E63,E$369)/1000+PRODUCT(SEMANAL!$C63,E$370)/1000</f>
        <v>4.8499999999999996</v>
      </c>
      <c r="F374" s="79">
        <f>PRODUCT(SEMANAL!$E63,F$369)/1000+PRODUCT(SEMANAL!$C63,F$370)/1000</f>
        <v>0.1</v>
      </c>
      <c r="G374" s="79">
        <f>PRODUCT(SEMANAL!$E63,G$369)/1000+PRODUCT(SEMANAL!$C63,G$370)/1000</f>
        <v>3.9</v>
      </c>
      <c r="H374" s="79">
        <f>PRODUCT(SEMANAL!$E63,H$369)/1000+PRODUCT(SEMANAL!$C63,H$370)/1000</f>
        <v>3.45</v>
      </c>
      <c r="I374" s="79">
        <f>PRODUCT(SEMANAL!$E63,I$369)/1000+PRODUCT(SEMANAL!$C63,I$370)/1000</f>
        <v>3.05</v>
      </c>
      <c r="J374" s="79">
        <f>PRODUCT(SEMANAL!$E63,J$369)/1000+PRODUCT(SEMANAL!$C63,J$370)/1000</f>
        <v>6.55</v>
      </c>
      <c r="K374" s="79">
        <f>PRODUCT(SEMANAL!$E63,K$369)/1000+PRODUCT(SEMANAL!$C63,K$370)/1000</f>
        <v>3.75</v>
      </c>
      <c r="L374" s="79">
        <f>PRODUCT(SEMANAL!$E63,L$369)/1000+PRODUCT(SEMANAL!$C63,L$370)/1000</f>
        <v>3.3</v>
      </c>
      <c r="M374" s="79">
        <f>PRODUCT(SEMANAL!$E63,M$369)/1000+PRODUCT(SEMANAL!$C63,M$370)/1000</f>
        <v>4</v>
      </c>
      <c r="N374" s="79">
        <f>PRODUCT(SEMANAL!$E63,N$369)/1000+PRODUCT(SEMANAL!$C63,N$370)/1000</f>
        <v>3.55</v>
      </c>
      <c r="O374" s="79">
        <f>PRODUCT(SEMANAL!$E63,O$369)/1000+PRODUCT(SEMANAL!$C63,O$370)/1000</f>
        <v>3.45</v>
      </c>
      <c r="P374" s="79">
        <f>PRODUCT(SEMANAL!$E63,P$369)/1000+PRODUCT(SEMANAL!$C63,P$370)/1000</f>
        <v>2.1</v>
      </c>
      <c r="Q374" s="79">
        <f>PRODUCT(SEMANAL!$E63,Q$369)/1000+PRODUCT(SEMANAL!$C63,Q$370)/1000</f>
        <v>3.5</v>
      </c>
      <c r="R374" s="1">
        <f>SUM('OC CAR y PAN AZUL 2'!B105:Q105)</f>
        <v>53</v>
      </c>
      <c r="S374" s="1">
        <v>3800</v>
      </c>
      <c r="T374" s="1">
        <f t="shared" si="19"/>
        <v>201400</v>
      </c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4.25" customHeight="1">
      <c r="A375" s="81" t="s">
        <v>186</v>
      </c>
      <c r="B375" s="79">
        <f>PRODUCT(SEMANAL!$E64,B$369)/1000+PRODUCT(SEMANAL!$C64,B$370)/1000</f>
        <v>8</v>
      </c>
      <c r="C375" s="79">
        <f>PRODUCT(SEMANAL!$E64,C$369)/1000+PRODUCT(SEMANAL!$C64,C$370)/1000</f>
        <v>4</v>
      </c>
      <c r="D375" s="79">
        <f>PRODUCT(SEMANAL!$E64,D$369)/1000+PRODUCT(SEMANAL!$C64,D$370)/1000</f>
        <v>7.8</v>
      </c>
      <c r="E375" s="79">
        <f>PRODUCT(SEMANAL!$E64,E$369)/1000+PRODUCT(SEMANAL!$C64,E$370)/1000</f>
        <v>4.8499999999999996</v>
      </c>
      <c r="F375" s="79">
        <f>PRODUCT(SEMANAL!$E64,F$369)/1000+PRODUCT(SEMANAL!$C64,F$370)/1000</f>
        <v>0.1</v>
      </c>
      <c r="G375" s="79">
        <f>PRODUCT(SEMANAL!$E64,G$369)/1000+PRODUCT(SEMANAL!$C64,G$370)/1000</f>
        <v>3.9</v>
      </c>
      <c r="H375" s="79">
        <f>PRODUCT(SEMANAL!$E64,H$369)/1000+PRODUCT(SEMANAL!$C64,H$370)/1000</f>
        <v>3.45</v>
      </c>
      <c r="I375" s="79">
        <f>PRODUCT(SEMANAL!$E64,I$369)/1000+PRODUCT(SEMANAL!$C64,I$370)/1000</f>
        <v>3.05</v>
      </c>
      <c r="J375" s="79">
        <f>PRODUCT(SEMANAL!$E64,J$369)/1000+PRODUCT(SEMANAL!$C64,J$370)/1000</f>
        <v>6.55</v>
      </c>
      <c r="K375" s="79">
        <f>PRODUCT(SEMANAL!$E64,K$369)/1000+PRODUCT(SEMANAL!$C64,K$370)/1000</f>
        <v>3.75</v>
      </c>
      <c r="L375" s="79">
        <f>PRODUCT(SEMANAL!$E64,L$369)/1000+PRODUCT(SEMANAL!$C64,L$370)/1000</f>
        <v>3.3</v>
      </c>
      <c r="M375" s="79">
        <f>PRODUCT(SEMANAL!$E64,M$369)/1000+PRODUCT(SEMANAL!$C64,M$370)/1000</f>
        <v>4</v>
      </c>
      <c r="N375" s="79">
        <f>PRODUCT(SEMANAL!$E64,N$369)/1000+PRODUCT(SEMANAL!$C64,N$370)/1000</f>
        <v>3.55</v>
      </c>
      <c r="O375" s="79">
        <f>PRODUCT(SEMANAL!$E64,O$369)/1000+PRODUCT(SEMANAL!$C64,O$370)/1000</f>
        <v>3.45</v>
      </c>
      <c r="P375" s="79">
        <f>PRODUCT(SEMANAL!$E64,P$369)/1000+PRODUCT(SEMANAL!$C64,P$370)/1000</f>
        <v>2.1</v>
      </c>
      <c r="Q375" s="79">
        <f>PRODUCT(SEMANAL!$E64,Q$369)/1000+PRODUCT(SEMANAL!$C64,Q$370)/1000</f>
        <v>3.5</v>
      </c>
      <c r="R375" s="1">
        <f>SUM('OC CAR y PAN AZUL 2'!B106:Q106)</f>
        <v>60</v>
      </c>
      <c r="S375" s="1">
        <v>3800</v>
      </c>
      <c r="T375" s="1">
        <f t="shared" si="19"/>
        <v>228000</v>
      </c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4.25" customHeight="1">
      <c r="A376" s="81" t="s">
        <v>187</v>
      </c>
      <c r="B376" s="79">
        <f>PRODUCT(SEMANAL!$E65,B$369)/1000+PRODUCT(SEMANAL!$C65,B$370)/1000</f>
        <v>0</v>
      </c>
      <c r="C376" s="79">
        <f>PRODUCT(SEMANAL!$E65,C$369)/1000+PRODUCT(SEMANAL!$C65,C$370)/1000</f>
        <v>0</v>
      </c>
      <c r="D376" s="79">
        <f>PRODUCT(SEMANAL!$E65,D$369)/1000+PRODUCT(SEMANAL!$C65,D$370)/1000</f>
        <v>0</v>
      </c>
      <c r="E376" s="79">
        <f>PRODUCT(SEMANAL!$E65,E$369)/1000+PRODUCT(SEMANAL!$C65,E$370)/1000</f>
        <v>0</v>
      </c>
      <c r="F376" s="79">
        <f>PRODUCT(SEMANAL!$E65,F$369)/1000+PRODUCT(SEMANAL!$C65,F$370)/1000</f>
        <v>0</v>
      </c>
      <c r="G376" s="79">
        <f>PRODUCT(SEMANAL!$E65,G$369)/1000+PRODUCT(SEMANAL!$C65,G$370)/1000</f>
        <v>0</v>
      </c>
      <c r="H376" s="79">
        <f>PRODUCT(SEMANAL!$E65,H$369)/1000+PRODUCT(SEMANAL!$C65,H$370)/1000</f>
        <v>0</v>
      </c>
      <c r="I376" s="79">
        <f>PRODUCT(SEMANAL!$E65,I$369)/1000+PRODUCT(SEMANAL!$C65,I$370)/1000</f>
        <v>0</v>
      </c>
      <c r="J376" s="79">
        <f>PRODUCT(SEMANAL!$E65,J$369)/1000+PRODUCT(SEMANAL!$C65,J$370)/1000</f>
        <v>0</v>
      </c>
      <c r="K376" s="79">
        <f>PRODUCT(SEMANAL!$E65,K$369)/1000+PRODUCT(SEMANAL!$C65,K$370)/1000</f>
        <v>0</v>
      </c>
      <c r="L376" s="79">
        <f>PRODUCT(SEMANAL!$E65,L$369)/1000+PRODUCT(SEMANAL!$C65,L$370)/1000</f>
        <v>0</v>
      </c>
      <c r="M376" s="79">
        <f>PRODUCT(SEMANAL!$E65,M$369)/1000+PRODUCT(SEMANAL!$C65,M$370)/1000</f>
        <v>0</v>
      </c>
      <c r="N376" s="79">
        <f>PRODUCT(SEMANAL!$E65,N$369)/1000+PRODUCT(SEMANAL!$C65,N$370)/1000</f>
        <v>0</v>
      </c>
      <c r="O376" s="79">
        <f>PRODUCT(SEMANAL!$E65,O$369)/1000+PRODUCT(SEMANAL!$C65,O$370)/1000</f>
        <v>0</v>
      </c>
      <c r="P376" s="79">
        <f>PRODUCT(SEMANAL!$E65,P$369)/1000+PRODUCT(SEMANAL!$C65,P$370)/1000</f>
        <v>0</v>
      </c>
      <c r="Q376" s="79">
        <f>PRODUCT(SEMANAL!$E65,Q$369)/1000+PRODUCT(SEMANAL!$C65,Q$370)/1000</f>
        <v>0</v>
      </c>
      <c r="R376" s="1">
        <f>SUM('OC CAR y PAN AZUL 2'!B107:Q107)</f>
        <v>0</v>
      </c>
      <c r="S376" s="1">
        <v>3800</v>
      </c>
      <c r="T376" s="1">
        <f t="shared" si="19"/>
        <v>0</v>
      </c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84"/>
      <c r="S377" s="1" t="s">
        <v>33</v>
      </c>
      <c r="T377" s="84">
        <f>SUM(T371:T376)</f>
        <v>1086800</v>
      </c>
      <c r="U377" s="84"/>
      <c r="V377" s="84"/>
      <c r="W377" s="1"/>
      <c r="X377" s="1"/>
      <c r="Y377" s="1"/>
      <c r="Z377" s="1"/>
      <c r="AA377" s="1"/>
      <c r="AB377" s="1"/>
      <c r="AC377" s="1"/>
      <c r="AD377" s="1"/>
    </row>
    <row r="378" spans="1:30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9"/>
      <c r="S378" s="9" t="s">
        <v>188</v>
      </c>
      <c r="T378" s="10">
        <f>SUM(Q333,Q345+Q356,Q367,T377)</f>
        <v>6281400</v>
      </c>
      <c r="U378" s="11"/>
      <c r="V378" s="25"/>
      <c r="W378" s="1"/>
      <c r="X378" s="1"/>
      <c r="Y378" s="1"/>
      <c r="Z378" s="1"/>
      <c r="AA378" s="1"/>
      <c r="AB378" s="1"/>
      <c r="AC378" s="1"/>
      <c r="AD378" s="1"/>
    </row>
    <row r="379" spans="1:30" ht="14.25" customHeight="1">
      <c r="A379" s="85"/>
      <c r="B379" s="86"/>
      <c r="C379" s="86"/>
      <c r="D379" s="86"/>
      <c r="E379" s="86"/>
      <c r="F379" s="86"/>
      <c r="G379" s="86"/>
      <c r="H379" s="87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88" t="s">
        <v>189</v>
      </c>
      <c r="T379" s="89">
        <f>SUM(T320+T378+T122+T279)</f>
        <v>24029834</v>
      </c>
      <c r="U379" s="4"/>
      <c r="V379" s="12"/>
      <c r="W379" s="1"/>
      <c r="X379" s="1"/>
      <c r="Y379" s="1"/>
      <c r="Z379" s="1"/>
      <c r="AA379" s="1"/>
      <c r="AB379" s="1"/>
      <c r="AC379" s="1"/>
      <c r="AD379" s="1"/>
    </row>
    <row r="380" spans="1:30" ht="14.25" customHeight="1">
      <c r="A380" s="1"/>
      <c r="B380" s="90"/>
      <c r="C380" s="90"/>
      <c r="D380" s="90"/>
      <c r="E380" s="90"/>
      <c r="F380" s="90"/>
      <c r="G380" s="90"/>
      <c r="H380" s="9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92"/>
      <c r="T380" s="4"/>
      <c r="U380" s="4"/>
      <c r="V380" s="4"/>
      <c r="W380" s="1"/>
      <c r="X380" s="1"/>
      <c r="Y380" s="1"/>
      <c r="Z380" s="1"/>
      <c r="AA380" s="1"/>
      <c r="AB380" s="1"/>
      <c r="AC380" s="1"/>
      <c r="AD380" s="1"/>
    </row>
    <row r="381" spans="1:30" ht="14.25" customHeight="1">
      <c r="A381" s="93"/>
      <c r="B381" s="93"/>
      <c r="C381" s="93"/>
      <c r="D381" s="93"/>
      <c r="E381" s="93"/>
      <c r="F381" s="93"/>
      <c r="G381" s="93"/>
      <c r="H381" s="93"/>
      <c r="I381" s="94"/>
      <c r="J381" s="94"/>
      <c r="K381" s="95"/>
      <c r="L381" s="94"/>
      <c r="M381" s="94"/>
      <c r="N381" s="94"/>
      <c r="O381" s="96"/>
      <c r="P381" s="94"/>
      <c r="Q381" s="94"/>
      <c r="R381" s="94"/>
      <c r="S381" s="97" t="s">
        <v>190</v>
      </c>
      <c r="T381" s="98">
        <f>T379+'CACHARI 2'!R88+'CHILLAR 2'!L83</f>
        <v>30022112</v>
      </c>
      <c r="U381" s="94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4.25" customHeight="1">
      <c r="A382" s="99"/>
      <c r="B382" s="99"/>
      <c r="C382" s="99"/>
      <c r="D382" s="99"/>
      <c r="E382" s="99"/>
      <c r="F382" s="99"/>
      <c r="G382" s="99"/>
      <c r="H382" s="100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2"/>
      <c r="X382" s="1"/>
      <c r="Y382" s="1"/>
      <c r="Z382" s="1"/>
      <c r="AA382" s="1"/>
      <c r="AB382" s="1"/>
      <c r="AC382" s="1"/>
      <c r="AD382" s="1"/>
    </row>
    <row r="383" spans="1:30" ht="14.25" customHeight="1">
      <c r="A383" s="99"/>
      <c r="B383" s="99"/>
      <c r="C383" s="99"/>
      <c r="D383" s="99"/>
      <c r="E383" s="99"/>
      <c r="F383" s="99"/>
      <c r="G383" s="99"/>
      <c r="H383" s="100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2"/>
      <c r="X383" s="1"/>
      <c r="Y383" s="1"/>
      <c r="Z383" s="1"/>
      <c r="AA383" s="1"/>
      <c r="AB383" s="1"/>
      <c r="AC383" s="1"/>
      <c r="AD383" s="1"/>
    </row>
    <row r="384" spans="1:30" ht="14.25" customHeight="1">
      <c r="A384" s="99"/>
      <c r="B384" s="99"/>
      <c r="C384" s="99"/>
      <c r="D384" s="99"/>
      <c r="E384" s="99"/>
      <c r="F384" s="99"/>
      <c r="G384" s="99"/>
      <c r="H384" s="100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2"/>
      <c r="X384" s="1"/>
      <c r="Y384" s="1"/>
      <c r="Z384" s="1"/>
      <c r="AA384" s="1"/>
      <c r="AB384" s="1"/>
      <c r="AC384" s="1"/>
      <c r="AD384" s="1"/>
    </row>
    <row r="385" spans="1:30" ht="14.25" customHeight="1">
      <c r="A385" s="1"/>
      <c r="B385" s="1"/>
      <c r="C385" s="1"/>
      <c r="D385" s="99"/>
      <c r="E385" s="1"/>
      <c r="F385" s="1"/>
      <c r="G385" s="99"/>
      <c r="H385" s="100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2"/>
      <c r="X385" s="1"/>
      <c r="Y385" s="1"/>
      <c r="Z385" s="1"/>
      <c r="AA385" s="1"/>
      <c r="AB385" s="1"/>
      <c r="AC385" s="1"/>
      <c r="AD385" s="1"/>
    </row>
    <row r="386" spans="1:30" ht="14.25" customHeight="1">
      <c r="A386" s="1"/>
      <c r="B386" s="1"/>
      <c r="C386" s="1"/>
      <c r="D386" s="99"/>
      <c r="E386" s="1"/>
      <c r="F386" s="1"/>
      <c r="G386" s="99"/>
      <c r="H386" s="100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2"/>
      <c r="X386" s="1"/>
      <c r="Y386" s="1"/>
      <c r="Z386" s="1"/>
      <c r="AA386" s="1"/>
      <c r="AB386" s="1"/>
      <c r="AC386" s="1"/>
      <c r="AD386" s="1"/>
    </row>
    <row r="387" spans="1:30" ht="14.25" customHeight="1">
      <c r="A387" s="1"/>
      <c r="B387" s="1"/>
      <c r="C387" s="99"/>
      <c r="D387" s="99"/>
      <c r="E387" s="1"/>
      <c r="F387" s="1"/>
      <c r="G387" s="99"/>
      <c r="H387" s="100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2"/>
      <c r="X387" s="1"/>
      <c r="Y387" s="1"/>
      <c r="Z387" s="1"/>
      <c r="AA387" s="1"/>
      <c r="AB387" s="1"/>
      <c r="AC387" s="1"/>
      <c r="AD387" s="1"/>
    </row>
    <row r="388" spans="1:30" ht="14.25" customHeight="1">
      <c r="A388" s="1"/>
      <c r="B388" s="1"/>
      <c r="C388" s="99"/>
      <c r="D388" s="99"/>
      <c r="E388" s="1"/>
      <c r="F388" s="1"/>
      <c r="G388" s="99"/>
      <c r="H388" s="100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"/>
      <c r="X388" s="1"/>
      <c r="Y388" s="1"/>
      <c r="Z388" s="1"/>
      <c r="AA388" s="1"/>
      <c r="AB388" s="1"/>
      <c r="AC388" s="1"/>
      <c r="AD388" s="1"/>
    </row>
    <row r="389" spans="1:30" ht="14.25" customHeight="1">
      <c r="A389" s="4"/>
      <c r="B389" s="4"/>
      <c r="C389" s="4"/>
      <c r="D389" s="4"/>
      <c r="E389" s="4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4.25" customHeight="1">
      <c r="A391" s="1"/>
      <c r="B391" s="1"/>
      <c r="C391" s="1"/>
      <c r="D391" s="1"/>
      <c r="E391" s="1"/>
      <c r="F391" s="1"/>
      <c r="G391" s="1"/>
      <c r="H391" s="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4.25" customHeight="1">
      <c r="A392" s="1"/>
      <c r="B392" s="1"/>
      <c r="C392" s="1"/>
      <c r="D392" s="1"/>
      <c r="E392" s="1"/>
      <c r="F392" s="1"/>
      <c r="G392" s="4"/>
      <c r="H392" s="4"/>
      <c r="I392" s="1"/>
      <c r="J392" s="1"/>
      <c r="K392" s="84"/>
      <c r="L392" s="84"/>
      <c r="M392" s="84"/>
      <c r="N392" s="84"/>
      <c r="O392" s="1"/>
      <c r="P392" s="84"/>
      <c r="Q392" s="84"/>
      <c r="R392" s="84"/>
      <c r="S392" s="84"/>
      <c r="T392" s="84"/>
      <c r="U392" s="84"/>
      <c r="V392" s="84"/>
      <c r="W392" s="1"/>
      <c r="X392" s="1"/>
      <c r="Y392" s="1"/>
      <c r="Z392" s="1"/>
      <c r="AA392" s="1"/>
      <c r="AB392" s="1"/>
      <c r="AC392" s="1"/>
      <c r="AD392" s="1"/>
    </row>
    <row r="393" spans="1:30" ht="14.25" customHeight="1">
      <c r="A393" s="1"/>
      <c r="B393" s="1"/>
      <c r="C393" s="1"/>
      <c r="D393" s="1"/>
      <c r="E393" s="1"/>
      <c r="F393" s="1"/>
      <c r="G393" s="1"/>
      <c r="H393" s="4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10"/>
      <c r="U393" s="11"/>
      <c r="V393" s="25"/>
      <c r="W393" s="1"/>
      <c r="X393" s="1"/>
      <c r="Y393" s="1"/>
      <c r="Z393" s="1"/>
      <c r="AA393" s="1"/>
      <c r="AB393" s="1"/>
      <c r="AC393" s="1"/>
      <c r="AD393" s="1"/>
    </row>
    <row r="394" spans="1:30" ht="14.25" customHeight="1">
      <c r="A394" s="85"/>
      <c r="B394" s="86"/>
      <c r="C394" s="86"/>
      <c r="D394" s="86"/>
      <c r="E394" s="86"/>
      <c r="F394" s="86"/>
      <c r="G394" s="86"/>
      <c r="H394" s="87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4"/>
      <c r="U394" s="4"/>
      <c r="V394" s="12"/>
      <c r="W394" s="1"/>
      <c r="X394" s="1"/>
      <c r="Y394" s="1"/>
      <c r="Z394" s="1"/>
      <c r="AA394" s="1"/>
      <c r="AB394" s="1"/>
      <c r="AC394" s="1"/>
      <c r="AD394" s="1"/>
    </row>
    <row r="395" spans="1:30" ht="14.25" customHeight="1">
      <c r="A395" s="1"/>
      <c r="B395" s="90"/>
      <c r="C395" s="90"/>
      <c r="D395" s="90"/>
      <c r="E395" s="90"/>
      <c r="F395" s="90"/>
      <c r="G395" s="90"/>
      <c r="H395" s="9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1"/>
      <c r="X395" s="1"/>
      <c r="Y395" s="1"/>
      <c r="Z395" s="1"/>
      <c r="AA395" s="1"/>
      <c r="AB395" s="1"/>
      <c r="AC395" s="1"/>
      <c r="AD395" s="1"/>
    </row>
    <row r="396" spans="1:30" ht="14.25" customHeight="1">
      <c r="A396" s="93"/>
      <c r="B396" s="93"/>
      <c r="C396" s="93"/>
      <c r="D396" s="93"/>
      <c r="E396" s="93"/>
      <c r="F396" s="93"/>
      <c r="G396" s="93"/>
      <c r="H396" s="93"/>
      <c r="I396" s="94"/>
      <c r="J396" s="94"/>
      <c r="K396" s="95"/>
      <c r="L396" s="94"/>
      <c r="M396" s="94"/>
      <c r="N396" s="94"/>
      <c r="O396" s="96"/>
      <c r="P396" s="94"/>
      <c r="Q396" s="94"/>
      <c r="R396" s="94"/>
      <c r="S396" s="95"/>
      <c r="T396" s="94"/>
      <c r="U396" s="94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4.25" customHeight="1">
      <c r="A397" s="99"/>
      <c r="B397" s="99"/>
      <c r="C397" s="99"/>
      <c r="D397" s="99"/>
      <c r="E397" s="99"/>
      <c r="F397" s="99"/>
      <c r="G397" s="99"/>
      <c r="H397" s="100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2"/>
      <c r="X397" s="1"/>
      <c r="Y397" s="1"/>
      <c r="Z397" s="1"/>
      <c r="AA397" s="1"/>
      <c r="AB397" s="1"/>
      <c r="AC397" s="1"/>
      <c r="AD397" s="1"/>
    </row>
    <row r="398" spans="1:30" ht="14.25" customHeight="1">
      <c r="A398" s="99"/>
      <c r="B398" s="99"/>
      <c r="C398" s="99"/>
      <c r="D398" s="99"/>
      <c r="E398" s="99"/>
      <c r="F398" s="99"/>
      <c r="G398" s="99"/>
      <c r="H398" s="100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2"/>
      <c r="X398" s="1"/>
      <c r="Y398" s="1"/>
      <c r="Z398" s="1"/>
      <c r="AA398" s="1"/>
      <c r="AB398" s="1"/>
      <c r="AC398" s="1"/>
      <c r="AD398" s="1"/>
    </row>
    <row r="399" spans="1:30" ht="14.25" customHeight="1">
      <c r="A399" s="99"/>
      <c r="B399" s="99"/>
      <c r="C399" s="99"/>
      <c r="D399" s="99"/>
      <c r="E399" s="99"/>
      <c r="F399" s="99"/>
      <c r="G399" s="99"/>
      <c r="H399" s="100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2"/>
      <c r="X399" s="1"/>
      <c r="Y399" s="1"/>
      <c r="Z399" s="1"/>
      <c r="AA399" s="1"/>
      <c r="AB399" s="1"/>
      <c r="AC399" s="1"/>
      <c r="AD399" s="1"/>
    </row>
    <row r="400" spans="1:30" ht="14.25" customHeight="1">
      <c r="A400" s="1"/>
      <c r="B400" s="1"/>
      <c r="C400" s="1"/>
      <c r="D400" s="99"/>
      <c r="E400" s="1"/>
      <c r="F400" s="1"/>
      <c r="G400" s="99"/>
      <c r="H400" s="100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2"/>
      <c r="X400" s="1"/>
      <c r="Y400" s="1"/>
      <c r="Z400" s="1"/>
      <c r="AA400" s="1"/>
      <c r="AB400" s="1"/>
      <c r="AC400" s="1"/>
      <c r="AD400" s="1"/>
    </row>
    <row r="401" spans="1:30" ht="14.25" customHeight="1">
      <c r="A401" s="1"/>
      <c r="B401" s="1"/>
      <c r="C401" s="1"/>
      <c r="D401" s="99"/>
      <c r="E401" s="1"/>
      <c r="F401" s="1"/>
      <c r="G401" s="99"/>
      <c r="H401" s="100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2"/>
      <c r="X401" s="1"/>
      <c r="Y401" s="1"/>
      <c r="Z401" s="1"/>
      <c r="AA401" s="1"/>
      <c r="AB401" s="1"/>
      <c r="AC401" s="1"/>
      <c r="AD401" s="1"/>
    </row>
    <row r="402" spans="1:30" ht="14.25" customHeight="1">
      <c r="A402" s="1"/>
      <c r="B402" s="1"/>
      <c r="C402" s="99"/>
      <c r="D402" s="99"/>
      <c r="E402" s="1"/>
      <c r="F402" s="1"/>
      <c r="G402" s="99"/>
      <c r="H402" s="100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2"/>
      <c r="X402" s="1"/>
      <c r="Y402" s="1"/>
      <c r="Z402" s="1"/>
      <c r="AA402" s="1"/>
      <c r="AB402" s="1"/>
      <c r="AC402" s="1"/>
      <c r="AD402" s="1"/>
    </row>
    <row r="403" spans="1:30" ht="14.25" customHeight="1">
      <c r="A403" s="1"/>
      <c r="B403" s="1"/>
      <c r="C403" s="99"/>
      <c r="D403" s="99"/>
      <c r="E403" s="1"/>
      <c r="F403" s="1"/>
      <c r="G403" s="99"/>
      <c r="H403" s="100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"/>
      <c r="X403" s="1"/>
      <c r="Y403" s="1"/>
      <c r="Z403" s="1"/>
      <c r="AA403" s="1"/>
      <c r="AB403" s="1"/>
      <c r="AC403" s="1"/>
      <c r="AD403" s="1"/>
    </row>
    <row r="404" spans="1:30" ht="14.25" customHeight="1">
      <c r="A404" s="1"/>
      <c r="B404" s="1"/>
      <c r="C404" s="1"/>
      <c r="D404" s="1"/>
      <c r="E404" s="1"/>
      <c r="F404" s="1"/>
      <c r="G404" s="1"/>
      <c r="H404" s="1"/>
      <c r="I404" s="94"/>
      <c r="J404" s="94"/>
      <c r="K404" s="94"/>
      <c r="L404" s="94"/>
      <c r="M404" s="94"/>
      <c r="N404" s="103"/>
      <c r="O404" s="94"/>
      <c r="P404" s="94"/>
      <c r="Q404" s="94"/>
      <c r="R404" s="94"/>
      <c r="S404" s="94"/>
      <c r="T404" s="94"/>
      <c r="U404" s="103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4.25" customHeight="1">
      <c r="A408" s="1"/>
      <c r="B408" s="1"/>
      <c r="C408" s="1"/>
      <c r="D408" s="1"/>
      <c r="E408" s="1"/>
      <c r="F408" s="1"/>
      <c r="G408" s="1"/>
      <c r="H408" s="4"/>
      <c r="I408" s="32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1"/>
      <c r="X408" s="1"/>
      <c r="Y408" s="1"/>
      <c r="Z408" s="1"/>
      <c r="AA408" s="1"/>
      <c r="AB408" s="1"/>
      <c r="AC408" s="1"/>
      <c r="AD408" s="1"/>
    </row>
    <row r="409" spans="1:30" ht="14.25" customHeight="1">
      <c r="A409" s="85"/>
      <c r="B409" s="86"/>
      <c r="C409" s="86"/>
      <c r="D409" s="86"/>
      <c r="E409" s="86"/>
      <c r="F409" s="86"/>
      <c r="G409" s="86"/>
      <c r="H409" s="87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"/>
      <c r="X409" s="1"/>
      <c r="Y409" s="1"/>
      <c r="Z409" s="1"/>
      <c r="AA409" s="1"/>
      <c r="AB409" s="1"/>
      <c r="AC409" s="1"/>
      <c r="AD409" s="1"/>
    </row>
    <row r="410" spans="1:30" ht="14.25" customHeight="1">
      <c r="A410" s="1"/>
      <c r="B410" s="90"/>
      <c r="C410" s="90"/>
      <c r="D410" s="90"/>
      <c r="E410" s="90"/>
      <c r="F410" s="90"/>
      <c r="G410" s="90"/>
      <c r="H410" s="9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1"/>
      <c r="X410" s="1"/>
      <c r="Y410" s="1"/>
      <c r="Z410" s="1"/>
      <c r="AA410" s="1"/>
      <c r="AB410" s="1"/>
      <c r="AC410" s="1"/>
      <c r="AD410" s="1"/>
    </row>
    <row r="411" spans="1:30" ht="14.25" customHeight="1">
      <c r="A411" s="93"/>
      <c r="B411" s="93"/>
      <c r="C411" s="93"/>
      <c r="D411" s="93"/>
      <c r="E411" s="93"/>
      <c r="F411" s="93"/>
      <c r="G411" s="93"/>
      <c r="H411" s="93"/>
      <c r="I411" s="94"/>
      <c r="J411" s="94"/>
      <c r="K411" s="95"/>
      <c r="L411" s="94"/>
      <c r="M411" s="94"/>
      <c r="N411" s="94"/>
      <c r="O411" s="96"/>
      <c r="P411" s="94"/>
      <c r="Q411" s="94"/>
      <c r="R411" s="94"/>
      <c r="S411" s="95"/>
      <c r="T411" s="94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4.25" customHeight="1">
      <c r="A412" s="99"/>
      <c r="B412" s="99"/>
      <c r="C412" s="99"/>
      <c r="D412" s="99"/>
      <c r="E412" s="99"/>
      <c r="F412" s="99"/>
      <c r="G412" s="99"/>
      <c r="H412" s="100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2"/>
      <c r="X412" s="1"/>
      <c r="Y412" s="1"/>
      <c r="Z412" s="1"/>
      <c r="AA412" s="1"/>
      <c r="AB412" s="1"/>
      <c r="AC412" s="1"/>
      <c r="AD412" s="1"/>
    </row>
    <row r="413" spans="1:30" ht="14.25" customHeight="1">
      <c r="A413" s="99"/>
      <c r="B413" s="99"/>
      <c r="C413" s="99"/>
      <c r="D413" s="99"/>
      <c r="E413" s="99"/>
      <c r="F413" s="99"/>
      <c r="G413" s="99"/>
      <c r="H413" s="100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2"/>
      <c r="X413" s="1"/>
      <c r="Y413" s="1"/>
      <c r="Z413" s="1"/>
      <c r="AA413" s="1"/>
      <c r="AB413" s="1"/>
      <c r="AC413" s="1"/>
      <c r="AD413" s="1"/>
    </row>
    <row r="414" spans="1:30" ht="14.25" customHeight="1">
      <c r="A414" s="99"/>
      <c r="B414" s="99"/>
      <c r="C414" s="99"/>
      <c r="D414" s="99"/>
      <c r="E414" s="99"/>
      <c r="F414" s="99"/>
      <c r="G414" s="99"/>
      <c r="H414" s="100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2"/>
      <c r="X414" s="1"/>
      <c r="Y414" s="1"/>
      <c r="Z414" s="1"/>
      <c r="AA414" s="1"/>
      <c r="AB414" s="1"/>
      <c r="AC414" s="1"/>
      <c r="AD414" s="1"/>
    </row>
    <row r="415" spans="1:30" ht="14.25" customHeight="1">
      <c r="A415" s="1"/>
      <c r="B415" s="1"/>
      <c r="C415" s="1"/>
      <c r="D415" s="99"/>
      <c r="E415" s="1"/>
      <c r="F415" s="1"/>
      <c r="G415" s="99"/>
      <c r="H415" s="100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2"/>
      <c r="X415" s="1"/>
      <c r="Y415" s="1"/>
      <c r="Z415" s="1"/>
      <c r="AA415" s="1"/>
      <c r="AB415" s="1"/>
      <c r="AC415" s="1"/>
      <c r="AD415" s="1"/>
    </row>
    <row r="416" spans="1:30" ht="14.25" customHeight="1">
      <c r="A416" s="1"/>
      <c r="B416" s="1"/>
      <c r="C416" s="1"/>
      <c r="D416" s="99"/>
      <c r="E416" s="1"/>
      <c r="F416" s="1"/>
      <c r="G416" s="99"/>
      <c r="H416" s="100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2"/>
      <c r="X416" s="1"/>
      <c r="Y416" s="1"/>
      <c r="Z416" s="1"/>
      <c r="AA416" s="1"/>
      <c r="AB416" s="1"/>
      <c r="AC416" s="1"/>
      <c r="AD416" s="1"/>
    </row>
    <row r="417" spans="1:30" ht="14.25" customHeight="1">
      <c r="A417" s="1"/>
      <c r="B417" s="1"/>
      <c r="C417" s="99"/>
      <c r="D417" s="99"/>
      <c r="E417" s="1"/>
      <c r="F417" s="1"/>
      <c r="G417" s="99"/>
      <c r="H417" s="100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2"/>
      <c r="X417" s="1"/>
      <c r="Y417" s="1"/>
      <c r="Z417" s="1"/>
      <c r="AA417" s="1"/>
      <c r="AB417" s="1"/>
      <c r="AC417" s="1"/>
      <c r="AD417" s="1"/>
    </row>
    <row r="418" spans="1:30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4.25" customHeight="1">
      <c r="A422" s="1"/>
      <c r="B422" s="1"/>
      <c r="C422" s="1"/>
      <c r="D422" s="1"/>
      <c r="E422" s="1"/>
      <c r="F422" s="1"/>
      <c r="G422" s="1"/>
      <c r="H422" s="4"/>
      <c r="I422" s="32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1"/>
      <c r="X422" s="1"/>
      <c r="Y422" s="1"/>
      <c r="Z422" s="1"/>
      <c r="AA422" s="1"/>
      <c r="AB422" s="1"/>
      <c r="AC422" s="1"/>
      <c r="AD422" s="1"/>
    </row>
    <row r="423" spans="1:30" ht="14.25" customHeight="1">
      <c r="A423" s="85"/>
      <c r="B423" s="86"/>
      <c r="C423" s="86"/>
      <c r="D423" s="86"/>
      <c r="E423" s="86"/>
      <c r="F423" s="86"/>
      <c r="G423" s="86"/>
      <c r="H423" s="87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"/>
      <c r="X423" s="1"/>
      <c r="Y423" s="1"/>
      <c r="Z423" s="1"/>
      <c r="AA423" s="1"/>
      <c r="AB423" s="1"/>
      <c r="AC423" s="1"/>
      <c r="AD423" s="1"/>
    </row>
    <row r="424" spans="1:30" ht="14.25" customHeight="1">
      <c r="A424" s="1"/>
      <c r="B424" s="90"/>
      <c r="C424" s="90"/>
      <c r="D424" s="90"/>
      <c r="E424" s="90"/>
      <c r="F424" s="90"/>
      <c r="G424" s="90"/>
      <c r="H424" s="9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1"/>
      <c r="X424" s="1"/>
      <c r="Y424" s="1"/>
      <c r="Z424" s="1"/>
      <c r="AA424" s="1"/>
      <c r="AB424" s="1"/>
      <c r="AC424" s="1"/>
      <c r="AD424" s="1"/>
    </row>
    <row r="425" spans="1:30" ht="14.25" customHeight="1">
      <c r="A425" s="93"/>
      <c r="B425" s="93"/>
      <c r="C425" s="93"/>
      <c r="D425" s="93"/>
      <c r="E425" s="93"/>
      <c r="F425" s="93"/>
      <c r="G425" s="93"/>
      <c r="H425" s="93"/>
      <c r="I425" s="94"/>
      <c r="J425" s="94"/>
      <c r="K425" s="95"/>
      <c r="L425" s="94"/>
      <c r="M425" s="94"/>
      <c r="N425" s="94"/>
      <c r="O425" s="96"/>
      <c r="P425" s="94"/>
      <c r="Q425" s="94"/>
      <c r="R425" s="94"/>
      <c r="S425" s="95"/>
      <c r="T425" s="94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4.25" customHeight="1">
      <c r="A426" s="99"/>
      <c r="B426" s="99"/>
      <c r="C426" s="99"/>
      <c r="D426" s="99"/>
      <c r="E426" s="99"/>
      <c r="F426" s="99"/>
      <c r="G426" s="99"/>
      <c r="H426" s="100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2"/>
      <c r="X426" s="1"/>
      <c r="Y426" s="1"/>
      <c r="Z426" s="1"/>
      <c r="AA426" s="1"/>
      <c r="AB426" s="1"/>
      <c r="AC426" s="1"/>
      <c r="AD426" s="1"/>
    </row>
    <row r="427" spans="1:30" ht="14.25" customHeight="1">
      <c r="A427" s="99"/>
      <c r="B427" s="99"/>
      <c r="C427" s="99"/>
      <c r="D427" s="99"/>
      <c r="E427" s="99"/>
      <c r="F427" s="99"/>
      <c r="G427" s="99"/>
      <c r="H427" s="100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2"/>
      <c r="X427" s="1"/>
      <c r="Y427" s="1"/>
      <c r="Z427" s="1"/>
      <c r="AA427" s="1"/>
      <c r="AB427" s="1"/>
      <c r="AC427" s="1"/>
      <c r="AD427" s="1"/>
    </row>
    <row r="428" spans="1:30" ht="14.25" customHeight="1">
      <c r="A428" s="99"/>
      <c r="B428" s="99"/>
      <c r="C428" s="99"/>
      <c r="D428" s="99"/>
      <c r="E428" s="99"/>
      <c r="F428" s="99"/>
      <c r="G428" s="99"/>
      <c r="H428" s="100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2"/>
      <c r="X428" s="1"/>
      <c r="Y428" s="1"/>
      <c r="Z428" s="1"/>
      <c r="AA428" s="1"/>
      <c r="AB428" s="1"/>
      <c r="AC428" s="1"/>
      <c r="AD428" s="1"/>
    </row>
    <row r="429" spans="1:30" ht="14.25" customHeight="1">
      <c r="A429" s="1"/>
      <c r="B429" s="1"/>
      <c r="C429" s="1"/>
      <c r="D429" s="99"/>
      <c r="E429" s="1"/>
      <c r="F429" s="1"/>
      <c r="G429" s="99"/>
      <c r="H429" s="100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2"/>
      <c r="X429" s="1"/>
      <c r="Y429" s="1"/>
      <c r="Z429" s="1"/>
      <c r="AA429" s="1"/>
      <c r="AB429" s="1"/>
      <c r="AC429" s="1"/>
      <c r="AD429" s="1"/>
    </row>
    <row r="430" spans="1:30" ht="14.25" customHeight="1">
      <c r="A430" s="1"/>
      <c r="B430" s="1"/>
      <c r="C430" s="1"/>
      <c r="D430" s="99"/>
      <c r="E430" s="1"/>
      <c r="F430" s="1"/>
      <c r="G430" s="99"/>
      <c r="H430" s="100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2"/>
      <c r="X430" s="1"/>
      <c r="Y430" s="1"/>
      <c r="Z430" s="1"/>
      <c r="AA430" s="1"/>
      <c r="AB430" s="1"/>
      <c r="AC430" s="1"/>
      <c r="AD430" s="1"/>
    </row>
    <row r="431" spans="1:30" ht="14.25" customHeight="1">
      <c r="A431" s="1"/>
      <c r="B431" s="1"/>
      <c r="C431" s="99"/>
      <c r="D431" s="99"/>
      <c r="E431" s="1"/>
      <c r="F431" s="1"/>
      <c r="G431" s="99"/>
      <c r="H431" s="100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2"/>
      <c r="X431" s="1"/>
      <c r="Y431" s="1"/>
      <c r="Z431" s="1"/>
      <c r="AA431" s="1"/>
      <c r="AB431" s="1"/>
      <c r="AC431" s="1"/>
      <c r="AD431" s="1"/>
    </row>
    <row r="432" spans="1:30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4.25" customHeight="1">
      <c r="A433" s="1"/>
      <c r="B433" s="1"/>
      <c r="C433" s="1"/>
      <c r="D433" s="1"/>
      <c r="E433" s="1"/>
      <c r="F433" s="1"/>
      <c r="G433" s="1"/>
      <c r="H433" s="1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32"/>
      <c r="T433" s="25"/>
      <c r="U433" s="25"/>
      <c r="V433" s="25"/>
      <c r="W433" s="1"/>
      <c r="X433" s="1"/>
      <c r="Y433" s="1"/>
      <c r="Z433" s="1"/>
      <c r="AA433" s="1"/>
      <c r="AB433" s="1"/>
      <c r="AC433" s="1"/>
      <c r="AD433" s="1"/>
    </row>
    <row r="434" spans="1:30" ht="14.25" customHeight="1">
      <c r="A434" s="1"/>
      <c r="B434" s="1"/>
      <c r="C434" s="1"/>
      <c r="D434" s="1"/>
      <c r="E434" s="1"/>
      <c r="F434" s="1"/>
      <c r="G434" s="1"/>
      <c r="H434" s="4"/>
      <c r="I434" s="33"/>
      <c r="J434" s="33"/>
      <c r="K434" s="104"/>
      <c r="L434" s="33"/>
      <c r="M434" s="33"/>
      <c r="N434" s="25"/>
      <c r="O434" s="25"/>
      <c r="P434" s="33"/>
      <c r="Q434" s="25"/>
      <c r="R434" s="25"/>
      <c r="S434" s="25"/>
      <c r="T434" s="25"/>
      <c r="U434" s="33"/>
      <c r="V434" s="33"/>
      <c r="W434" s="1"/>
      <c r="X434" s="1"/>
      <c r="Y434" s="1"/>
      <c r="Z434" s="1"/>
      <c r="AA434" s="1"/>
      <c r="AB434" s="1"/>
      <c r="AC434" s="1"/>
      <c r="AD434" s="1"/>
    </row>
    <row r="435" spans="1:30" ht="14.25" customHeight="1">
      <c r="A435" s="85"/>
      <c r="B435" s="86"/>
      <c r="C435" s="86"/>
      <c r="D435" s="86"/>
      <c r="E435" s="86"/>
      <c r="F435" s="86"/>
      <c r="G435" s="86"/>
      <c r="H435" s="87"/>
      <c r="I435" s="12"/>
      <c r="J435" s="12"/>
      <c r="K435" s="12"/>
      <c r="L435" s="12"/>
      <c r="M435" s="12"/>
      <c r="N435" s="12"/>
      <c r="O435" s="12"/>
      <c r="P435" s="12"/>
      <c r="Q435" s="12"/>
      <c r="R435" s="4"/>
      <c r="S435" s="4"/>
      <c r="T435" s="12"/>
      <c r="U435" s="12"/>
      <c r="V435" s="12"/>
      <c r="W435" s="1"/>
      <c r="X435" s="1"/>
      <c r="Y435" s="1"/>
      <c r="Z435" s="1"/>
      <c r="AA435" s="1"/>
      <c r="AB435" s="1"/>
      <c r="AC435" s="1"/>
      <c r="AD435" s="1"/>
    </row>
    <row r="436" spans="1:30" ht="14.25" customHeight="1">
      <c r="A436" s="1"/>
      <c r="B436" s="90"/>
      <c r="C436" s="90"/>
      <c r="D436" s="90"/>
      <c r="E436" s="90"/>
      <c r="F436" s="90"/>
      <c r="G436" s="90"/>
      <c r="H436" s="9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1"/>
      <c r="X436" s="1"/>
      <c r="Y436" s="1"/>
      <c r="Z436" s="1"/>
      <c r="AA436" s="1"/>
      <c r="AB436" s="1"/>
      <c r="AC436" s="1"/>
      <c r="AD436" s="1"/>
    </row>
    <row r="437" spans="1:30" ht="14.25" customHeight="1">
      <c r="A437" s="93"/>
      <c r="B437" s="93"/>
      <c r="C437" s="93"/>
      <c r="D437" s="93"/>
      <c r="E437" s="93"/>
      <c r="F437" s="93"/>
      <c r="G437" s="93"/>
      <c r="H437" s="93"/>
      <c r="I437" s="94"/>
      <c r="J437" s="94"/>
      <c r="K437" s="95"/>
      <c r="L437" s="94"/>
      <c r="M437" s="94"/>
      <c r="N437" s="94"/>
      <c r="O437" s="96"/>
      <c r="P437" s="94"/>
      <c r="Q437" s="94"/>
      <c r="R437" s="94"/>
      <c r="S437" s="95"/>
      <c r="T437" s="94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4.25" customHeight="1">
      <c r="A438" s="99"/>
      <c r="B438" s="99"/>
      <c r="C438" s="99"/>
      <c r="D438" s="99"/>
      <c r="E438" s="99"/>
      <c r="F438" s="99"/>
      <c r="G438" s="99"/>
      <c r="H438" s="100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2"/>
      <c r="X438" s="1"/>
      <c r="Y438" s="1"/>
      <c r="Z438" s="1"/>
      <c r="AA438" s="1"/>
      <c r="AB438" s="1"/>
      <c r="AC438" s="1"/>
      <c r="AD438" s="1"/>
    </row>
    <row r="439" spans="1:30" ht="14.25" customHeight="1">
      <c r="A439" s="99"/>
      <c r="B439" s="99"/>
      <c r="C439" s="99"/>
      <c r="D439" s="99"/>
      <c r="E439" s="99"/>
      <c r="F439" s="99"/>
      <c r="G439" s="99"/>
      <c r="H439" s="100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2"/>
      <c r="X439" s="1"/>
      <c r="Y439" s="1"/>
      <c r="Z439" s="1"/>
      <c r="AA439" s="1"/>
      <c r="AB439" s="1"/>
      <c r="AC439" s="1"/>
      <c r="AD439" s="1"/>
    </row>
    <row r="440" spans="1:30" ht="14.25" customHeight="1">
      <c r="A440" s="99"/>
      <c r="B440" s="99"/>
      <c r="C440" s="99"/>
      <c r="D440" s="99"/>
      <c r="E440" s="99"/>
      <c r="F440" s="99"/>
      <c r="G440" s="99"/>
      <c r="H440" s="100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2"/>
      <c r="X440" s="1"/>
      <c r="Y440" s="1"/>
      <c r="Z440" s="1"/>
      <c r="AA440" s="1"/>
      <c r="AB440" s="1"/>
      <c r="AC440" s="1"/>
      <c r="AD440" s="1"/>
    </row>
    <row r="441" spans="1:30" ht="14.25" customHeight="1">
      <c r="A441" s="1"/>
      <c r="B441" s="1"/>
      <c r="C441" s="1"/>
      <c r="D441" s="99"/>
      <c r="E441" s="1"/>
      <c r="F441" s="1"/>
      <c r="G441" s="99"/>
      <c r="H441" s="100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2"/>
      <c r="X441" s="1"/>
      <c r="Y441" s="1"/>
      <c r="Z441" s="1"/>
      <c r="AA441" s="1"/>
      <c r="AB441" s="1"/>
      <c r="AC441" s="1"/>
      <c r="AD441" s="1"/>
    </row>
    <row r="442" spans="1:30" ht="14.25" customHeight="1">
      <c r="A442" s="1"/>
      <c r="B442" s="1"/>
      <c r="C442" s="1"/>
      <c r="D442" s="99"/>
      <c r="E442" s="1"/>
      <c r="F442" s="1"/>
      <c r="G442" s="99"/>
      <c r="H442" s="100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2"/>
      <c r="X442" s="1"/>
      <c r="Y442" s="1"/>
      <c r="Z442" s="1"/>
      <c r="AA442" s="1"/>
      <c r="AB442" s="1"/>
      <c r="AC442" s="1"/>
      <c r="AD442" s="1"/>
    </row>
    <row r="443" spans="1:30" ht="14.25" customHeight="1">
      <c r="A443" s="1"/>
      <c r="B443" s="1"/>
      <c r="C443" s="99"/>
      <c r="D443" s="99"/>
      <c r="E443" s="1"/>
      <c r="F443" s="1"/>
      <c r="G443" s="99"/>
      <c r="H443" s="100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2"/>
      <c r="X443" s="1"/>
      <c r="Y443" s="1"/>
      <c r="Z443" s="1"/>
      <c r="AA443" s="1"/>
      <c r="AB443" s="1"/>
      <c r="AC443" s="1"/>
      <c r="AD443" s="1"/>
    </row>
    <row r="444" spans="1:30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4.25" customHeight="1">
      <c r="A446" s="1"/>
      <c r="B446" s="1"/>
      <c r="C446" s="1"/>
      <c r="D446" s="1"/>
      <c r="E446" s="1"/>
      <c r="F446" s="1"/>
      <c r="G446" s="1"/>
      <c r="H446" s="1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32"/>
      <c r="T446" s="25"/>
      <c r="U446" s="25"/>
      <c r="V446" s="25"/>
      <c r="W446" s="1"/>
      <c r="X446" s="1"/>
      <c r="Y446" s="1"/>
      <c r="Z446" s="1"/>
      <c r="AA446" s="1"/>
      <c r="AB446" s="1"/>
      <c r="AC446" s="1"/>
      <c r="AD446" s="1"/>
    </row>
    <row r="447" spans="1:30" ht="14.25" customHeight="1">
      <c r="A447" s="1"/>
      <c r="B447" s="1"/>
      <c r="C447" s="1"/>
      <c r="D447" s="1"/>
      <c r="E447" s="1"/>
      <c r="F447" s="1"/>
      <c r="G447" s="1"/>
      <c r="H447" s="4"/>
      <c r="I447" s="33"/>
      <c r="J447" s="33"/>
      <c r="K447" s="104"/>
      <c r="L447" s="33"/>
      <c r="M447" s="33"/>
      <c r="N447" s="25"/>
      <c r="O447" s="25"/>
      <c r="P447" s="33"/>
      <c r="Q447" s="25"/>
      <c r="R447" s="25"/>
      <c r="S447" s="25"/>
      <c r="T447" s="25"/>
      <c r="U447" s="33"/>
      <c r="V447" s="33"/>
      <c r="W447" s="1"/>
      <c r="X447" s="1"/>
      <c r="Y447" s="1"/>
      <c r="Z447" s="1"/>
      <c r="AA447" s="1"/>
      <c r="AB447" s="1"/>
      <c r="AC447" s="1"/>
      <c r="AD447" s="1"/>
    </row>
    <row r="448" spans="1:30" ht="14.25" customHeight="1">
      <c r="A448" s="85"/>
      <c r="B448" s="86"/>
      <c r="C448" s="86"/>
      <c r="D448" s="86"/>
      <c r="E448" s="86"/>
      <c r="F448" s="86"/>
      <c r="G448" s="86"/>
      <c r="H448" s="87"/>
      <c r="I448" s="12"/>
      <c r="J448" s="12"/>
      <c r="K448" s="12"/>
      <c r="L448" s="12"/>
      <c r="M448" s="12"/>
      <c r="N448" s="12"/>
      <c r="O448" s="12"/>
      <c r="P448" s="12"/>
      <c r="Q448" s="12"/>
      <c r="R448" s="4"/>
      <c r="S448" s="4"/>
      <c r="T448" s="12"/>
      <c r="U448" s="12"/>
      <c r="V448" s="12"/>
      <c r="W448" s="1"/>
      <c r="X448" s="1"/>
      <c r="Y448" s="1"/>
      <c r="Z448" s="1"/>
      <c r="AA448" s="1"/>
      <c r="AB448" s="1"/>
      <c r="AC448" s="1"/>
      <c r="AD448" s="1"/>
    </row>
    <row r="449" spans="1:30" ht="14.25" customHeight="1">
      <c r="A449" s="1"/>
      <c r="B449" s="90"/>
      <c r="C449" s="90"/>
      <c r="D449" s="90"/>
      <c r="E449" s="90"/>
      <c r="F449" s="90"/>
      <c r="G449" s="90"/>
      <c r="H449" s="9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1"/>
      <c r="X449" s="1"/>
      <c r="Y449" s="1"/>
      <c r="Z449" s="1"/>
      <c r="AA449" s="1"/>
      <c r="AB449" s="1"/>
      <c r="AC449" s="1"/>
      <c r="AD449" s="1"/>
    </row>
    <row r="450" spans="1:30" ht="14.25" customHeight="1">
      <c r="A450" s="93"/>
      <c r="B450" s="93"/>
      <c r="C450" s="93"/>
      <c r="D450" s="93"/>
      <c r="E450" s="93"/>
      <c r="F450" s="93"/>
      <c r="G450" s="93"/>
      <c r="H450" s="93"/>
      <c r="I450" s="94"/>
      <c r="J450" s="94"/>
      <c r="K450" s="95"/>
      <c r="L450" s="94"/>
      <c r="M450" s="94"/>
      <c r="N450" s="94"/>
      <c r="O450" s="96"/>
      <c r="P450" s="94"/>
      <c r="Q450" s="94"/>
      <c r="R450" s="94"/>
      <c r="S450" s="95"/>
      <c r="T450" s="94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4.25" customHeight="1">
      <c r="A451" s="99"/>
      <c r="B451" s="99"/>
      <c r="C451" s="99"/>
      <c r="D451" s="99"/>
      <c r="E451" s="99"/>
      <c r="F451" s="99"/>
      <c r="G451" s="99"/>
      <c r="H451" s="100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2"/>
      <c r="X451" s="1"/>
      <c r="Y451" s="1"/>
      <c r="Z451" s="1"/>
      <c r="AA451" s="1"/>
      <c r="AB451" s="1"/>
      <c r="AC451" s="1"/>
      <c r="AD451" s="1"/>
    </row>
    <row r="452" spans="1:30" ht="14.25" customHeight="1">
      <c r="A452" s="99"/>
      <c r="B452" s="99"/>
      <c r="C452" s="99"/>
      <c r="D452" s="99"/>
      <c r="E452" s="99"/>
      <c r="F452" s="99"/>
      <c r="G452" s="99"/>
      <c r="H452" s="100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2"/>
      <c r="X452" s="1"/>
      <c r="Y452" s="1"/>
      <c r="Z452" s="1"/>
      <c r="AA452" s="1"/>
      <c r="AB452" s="1"/>
      <c r="AC452" s="1"/>
      <c r="AD452" s="1"/>
    </row>
    <row r="453" spans="1:30" ht="14.25" customHeight="1">
      <c r="A453" s="99"/>
      <c r="B453" s="99"/>
      <c r="C453" s="99"/>
      <c r="D453" s="99"/>
      <c r="E453" s="99"/>
      <c r="F453" s="99"/>
      <c r="G453" s="99"/>
      <c r="H453" s="100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2"/>
      <c r="X453" s="1"/>
      <c r="Y453" s="1"/>
      <c r="Z453" s="1"/>
      <c r="AA453" s="1"/>
      <c r="AB453" s="1"/>
      <c r="AC453" s="1"/>
      <c r="AD453" s="1"/>
    </row>
    <row r="454" spans="1:30" ht="14.25" customHeight="1">
      <c r="A454" s="1"/>
      <c r="B454" s="1"/>
      <c r="C454" s="1"/>
      <c r="D454" s="99"/>
      <c r="E454" s="1"/>
      <c r="F454" s="1"/>
      <c r="G454" s="99"/>
      <c r="H454" s="100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2"/>
      <c r="X454" s="1"/>
      <c r="Y454" s="1"/>
      <c r="Z454" s="1"/>
      <c r="AA454" s="1"/>
      <c r="AB454" s="1"/>
      <c r="AC454" s="1"/>
      <c r="AD454" s="1"/>
    </row>
    <row r="455" spans="1:30" ht="14.25" customHeight="1">
      <c r="A455" s="1"/>
      <c r="B455" s="1"/>
      <c r="C455" s="1"/>
      <c r="D455" s="99"/>
      <c r="E455" s="1"/>
      <c r="F455" s="1"/>
      <c r="G455" s="99"/>
      <c r="H455" s="100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2"/>
      <c r="X455" s="1"/>
      <c r="Y455" s="1"/>
      <c r="Z455" s="1"/>
      <c r="AA455" s="1"/>
      <c r="AB455" s="1"/>
      <c r="AC455" s="1"/>
      <c r="AD455" s="1"/>
    </row>
    <row r="456" spans="1:30" ht="14.25" customHeight="1">
      <c r="A456" s="1"/>
      <c r="B456" s="1"/>
      <c r="C456" s="99"/>
      <c r="D456" s="99"/>
      <c r="E456" s="1"/>
      <c r="F456" s="1"/>
      <c r="G456" s="99"/>
      <c r="H456" s="100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2"/>
      <c r="X456" s="1"/>
      <c r="Y456" s="1"/>
      <c r="Z456" s="1"/>
      <c r="AA456" s="1"/>
      <c r="AB456" s="1"/>
      <c r="AC456" s="1"/>
      <c r="AD456" s="1"/>
    </row>
    <row r="457" spans="1:30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4.25" customHeight="1">
      <c r="A459" s="1"/>
      <c r="B459" s="1"/>
      <c r="C459" s="1"/>
      <c r="D459" s="1"/>
      <c r="E459" s="1"/>
      <c r="F459" s="1"/>
      <c r="G459" s="1"/>
      <c r="H459" s="1"/>
      <c r="I459" s="105"/>
      <c r="J459" s="25"/>
      <c r="K459" s="25"/>
      <c r="L459" s="25"/>
      <c r="M459" s="25"/>
      <c r="N459" s="42"/>
      <c r="O459" s="43"/>
      <c r="P459" s="42"/>
      <c r="Q459" s="42"/>
      <c r="R459" s="4"/>
      <c r="S459" s="42"/>
      <c r="T459" s="42"/>
      <c r="U459" s="42"/>
      <c r="V459" s="42"/>
      <c r="W459" s="1"/>
      <c r="X459" s="1"/>
      <c r="Y459" s="1"/>
      <c r="Z459" s="1"/>
      <c r="AA459" s="1"/>
      <c r="AB459" s="1"/>
      <c r="AC459" s="1"/>
      <c r="AD459" s="1"/>
    </row>
    <row r="460" spans="1:30" ht="14.25" customHeight="1">
      <c r="A460" s="1"/>
      <c r="B460" s="1"/>
      <c r="C460" s="1"/>
      <c r="D460" s="1"/>
      <c r="E460" s="1"/>
      <c r="F460" s="1"/>
      <c r="G460" s="1"/>
      <c r="H460" s="4"/>
      <c r="I460" s="25"/>
      <c r="J460" s="33"/>
      <c r="K460" s="33"/>
      <c r="L460" s="33"/>
      <c r="M460" s="33"/>
      <c r="N460" s="33"/>
      <c r="O460" s="33"/>
      <c r="P460" s="33"/>
      <c r="Q460" s="33"/>
      <c r="R460" s="4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4.25" customHeight="1">
      <c r="A461" s="85"/>
      <c r="B461" s="86"/>
      <c r="C461" s="86"/>
      <c r="D461" s="86"/>
      <c r="E461" s="86"/>
      <c r="F461" s="86"/>
      <c r="G461" s="86"/>
      <c r="H461" s="87"/>
      <c r="I461" s="12"/>
      <c r="J461" s="12"/>
      <c r="K461" s="12"/>
      <c r="L461" s="12"/>
      <c r="M461" s="12"/>
      <c r="N461" s="12"/>
      <c r="O461" s="12"/>
      <c r="P461" s="12"/>
      <c r="Q461" s="4"/>
      <c r="R461" s="4"/>
      <c r="S461" s="12"/>
      <c r="T461" s="12"/>
      <c r="U461" s="12"/>
      <c r="V461" s="12"/>
      <c r="W461" s="1"/>
      <c r="X461" s="1"/>
      <c r="Y461" s="1"/>
      <c r="Z461" s="1"/>
      <c r="AA461" s="1"/>
      <c r="AB461" s="1"/>
      <c r="AC461" s="1"/>
      <c r="AD461" s="1"/>
    </row>
    <row r="462" spans="1:30" ht="14.25" customHeight="1">
      <c r="A462" s="1"/>
      <c r="B462" s="90"/>
      <c r="C462" s="90"/>
      <c r="D462" s="90"/>
      <c r="E462" s="90"/>
      <c r="F462" s="90"/>
      <c r="G462" s="90"/>
      <c r="H462" s="9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1"/>
      <c r="X462" s="1"/>
      <c r="Y462" s="1"/>
      <c r="Z462" s="1"/>
      <c r="AA462" s="1"/>
      <c r="AB462" s="1"/>
      <c r="AC462" s="1"/>
      <c r="AD462" s="1"/>
    </row>
    <row r="463" spans="1:30" ht="14.25" customHeight="1">
      <c r="A463" s="93"/>
      <c r="B463" s="93"/>
      <c r="C463" s="93"/>
      <c r="D463" s="93"/>
      <c r="E463" s="93"/>
      <c r="F463" s="93"/>
      <c r="G463" s="93"/>
      <c r="H463" s="93"/>
      <c r="I463" s="94"/>
      <c r="J463" s="94"/>
      <c r="K463" s="95"/>
      <c r="L463" s="94"/>
      <c r="M463" s="94"/>
      <c r="N463" s="94"/>
      <c r="O463" s="96"/>
      <c r="P463" s="94"/>
      <c r="Q463" s="94"/>
      <c r="R463" s="94"/>
      <c r="S463" s="95"/>
      <c r="T463" s="94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4.25" customHeight="1">
      <c r="A464" s="99"/>
      <c r="B464" s="99"/>
      <c r="C464" s="99"/>
      <c r="D464" s="99"/>
      <c r="E464" s="99"/>
      <c r="F464" s="99"/>
      <c r="G464" s="99"/>
      <c r="H464" s="100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2"/>
      <c r="X464" s="1"/>
      <c r="Y464" s="1"/>
      <c r="Z464" s="1"/>
      <c r="AA464" s="1"/>
      <c r="AB464" s="1"/>
      <c r="AC464" s="1"/>
      <c r="AD464" s="1"/>
    </row>
    <row r="465" spans="1:30" ht="14.25" customHeight="1">
      <c r="A465" s="99"/>
      <c r="B465" s="99"/>
      <c r="C465" s="99"/>
      <c r="D465" s="99"/>
      <c r="E465" s="99"/>
      <c r="F465" s="99"/>
      <c r="G465" s="99"/>
      <c r="H465" s="100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2"/>
      <c r="X465" s="1"/>
      <c r="Y465" s="1"/>
      <c r="Z465" s="1"/>
      <c r="AA465" s="1"/>
      <c r="AB465" s="1"/>
      <c r="AC465" s="1"/>
      <c r="AD465" s="1"/>
    </row>
    <row r="466" spans="1:30" ht="14.25" customHeight="1">
      <c r="A466" s="99"/>
      <c r="B466" s="99"/>
      <c r="C466" s="99"/>
      <c r="D466" s="99"/>
      <c r="E466" s="99"/>
      <c r="F466" s="99"/>
      <c r="G466" s="99"/>
      <c r="H466" s="100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2"/>
      <c r="X466" s="1"/>
      <c r="Y466" s="1"/>
      <c r="Z466" s="1"/>
      <c r="AA466" s="1"/>
      <c r="AB466" s="1"/>
      <c r="AC466" s="1"/>
      <c r="AD466" s="1"/>
    </row>
    <row r="467" spans="1:30" ht="14.25" customHeight="1">
      <c r="A467" s="1"/>
      <c r="B467" s="1"/>
      <c r="C467" s="1"/>
      <c r="D467" s="99"/>
      <c r="E467" s="1"/>
      <c r="F467" s="1"/>
      <c r="G467" s="99"/>
      <c r="H467" s="100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2"/>
      <c r="X467" s="1"/>
      <c r="Y467" s="1"/>
      <c r="Z467" s="1"/>
      <c r="AA467" s="1"/>
      <c r="AB467" s="1"/>
      <c r="AC467" s="1"/>
      <c r="AD467" s="1"/>
    </row>
    <row r="468" spans="1:30" ht="14.25" customHeight="1">
      <c r="A468" s="1"/>
      <c r="B468" s="1"/>
      <c r="C468" s="1"/>
      <c r="D468" s="99"/>
      <c r="E468" s="1"/>
      <c r="F468" s="1"/>
      <c r="G468" s="99"/>
      <c r="H468" s="100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2"/>
      <c r="X468" s="1"/>
      <c r="Y468" s="1"/>
      <c r="Z468" s="1"/>
      <c r="AA468" s="1"/>
      <c r="AB468" s="1"/>
      <c r="AC468" s="1"/>
      <c r="AD468" s="1"/>
    </row>
    <row r="469" spans="1:30" ht="14.25" customHeight="1">
      <c r="A469" s="1"/>
      <c r="B469" s="1"/>
      <c r="C469" s="99"/>
      <c r="D469" s="99"/>
      <c r="E469" s="1"/>
      <c r="F469" s="1"/>
      <c r="G469" s="99"/>
      <c r="H469" s="100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2"/>
      <c r="X469" s="1"/>
      <c r="Y469" s="1"/>
      <c r="Z469" s="1"/>
      <c r="AA469" s="1"/>
      <c r="AB469" s="1"/>
      <c r="AC469" s="1"/>
      <c r="AD469" s="1"/>
    </row>
    <row r="470" spans="1:3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4.25" customHeight="1">
      <c r="A473" s="1"/>
      <c r="B473" s="1"/>
      <c r="C473" s="1"/>
      <c r="D473" s="1"/>
      <c r="E473" s="1"/>
      <c r="F473" s="1"/>
      <c r="G473" s="1"/>
      <c r="H473" s="1"/>
      <c r="I473" s="105"/>
      <c r="J473" s="25"/>
      <c r="K473" s="25"/>
      <c r="L473" s="25"/>
      <c r="M473" s="25"/>
      <c r="N473" s="42"/>
      <c r="O473" s="43"/>
      <c r="P473" s="42"/>
      <c r="Q473" s="42"/>
      <c r="R473" s="4"/>
      <c r="S473" s="42"/>
      <c r="T473" s="42"/>
      <c r="U473" s="42"/>
      <c r="V473" s="42"/>
      <c r="W473" s="1"/>
      <c r="X473" s="1"/>
      <c r="Y473" s="1"/>
      <c r="Z473" s="1"/>
      <c r="AA473" s="1"/>
      <c r="AB473" s="1"/>
      <c r="AC473" s="1"/>
      <c r="AD473" s="1"/>
    </row>
    <row r="474" spans="1:30" ht="14.25" customHeight="1">
      <c r="A474" s="1"/>
      <c r="B474" s="1"/>
      <c r="C474" s="1"/>
      <c r="D474" s="1"/>
      <c r="E474" s="1"/>
      <c r="F474" s="1"/>
      <c r="G474" s="1"/>
      <c r="H474" s="4"/>
      <c r="I474" s="25"/>
      <c r="J474" s="33"/>
      <c r="K474" s="33"/>
      <c r="L474" s="33"/>
      <c r="M474" s="33"/>
      <c r="N474" s="33"/>
      <c r="O474" s="33"/>
      <c r="P474" s="33"/>
      <c r="Q474" s="33"/>
      <c r="R474" s="4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4.25" customHeight="1">
      <c r="A475" s="85"/>
      <c r="B475" s="86"/>
      <c r="C475" s="86"/>
      <c r="D475" s="86"/>
      <c r="E475" s="86"/>
      <c r="F475" s="86"/>
      <c r="G475" s="86"/>
      <c r="H475" s="87"/>
      <c r="I475" s="12"/>
      <c r="J475" s="12"/>
      <c r="K475" s="12"/>
      <c r="L475" s="12"/>
      <c r="M475" s="12"/>
      <c r="N475" s="12"/>
      <c r="O475" s="12"/>
      <c r="P475" s="12"/>
      <c r="Q475" s="4"/>
      <c r="R475" s="4"/>
      <c r="S475" s="12"/>
      <c r="T475" s="12"/>
      <c r="U475" s="12"/>
      <c r="V475" s="12"/>
      <c r="W475" s="1"/>
      <c r="X475" s="1"/>
      <c r="Y475" s="1"/>
      <c r="Z475" s="1"/>
      <c r="AA475" s="1"/>
      <c r="AB475" s="1"/>
      <c r="AC475" s="1"/>
      <c r="AD475" s="1"/>
    </row>
    <row r="476" spans="1:30" ht="14.25" customHeight="1">
      <c r="A476" s="1"/>
      <c r="B476" s="90"/>
      <c r="C476" s="90"/>
      <c r="D476" s="90"/>
      <c r="E476" s="90"/>
      <c r="F476" s="90"/>
      <c r="G476" s="90"/>
      <c r="H476" s="9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1"/>
      <c r="X476" s="1"/>
      <c r="Y476" s="1"/>
      <c r="Z476" s="1"/>
      <c r="AA476" s="1"/>
      <c r="AB476" s="1"/>
      <c r="AC476" s="1"/>
      <c r="AD476" s="1"/>
    </row>
    <row r="477" spans="1:30" ht="14.25" customHeight="1">
      <c r="A477" s="93"/>
      <c r="B477" s="93"/>
      <c r="C477" s="93"/>
      <c r="D477" s="93"/>
      <c r="E477" s="93"/>
      <c r="F477" s="93"/>
      <c r="G477" s="93"/>
      <c r="H477" s="93"/>
      <c r="I477" s="94"/>
      <c r="J477" s="94"/>
      <c r="K477" s="95"/>
      <c r="L477" s="94"/>
      <c r="M477" s="94"/>
      <c r="N477" s="94"/>
      <c r="O477" s="96"/>
      <c r="P477" s="94"/>
      <c r="Q477" s="94"/>
      <c r="R477" s="94"/>
      <c r="S477" s="95"/>
      <c r="T477" s="94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4.25" customHeight="1">
      <c r="A478" s="99"/>
      <c r="B478" s="99"/>
      <c r="C478" s="99"/>
      <c r="D478" s="99"/>
      <c r="E478" s="99"/>
      <c r="F478" s="99"/>
      <c r="G478" s="99"/>
      <c r="H478" s="100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2"/>
      <c r="X478" s="1"/>
      <c r="Y478" s="1"/>
      <c r="Z478" s="1"/>
      <c r="AA478" s="1"/>
      <c r="AB478" s="1"/>
      <c r="AC478" s="1"/>
      <c r="AD478" s="1"/>
    </row>
    <row r="479" spans="1:30" ht="14.25" customHeight="1">
      <c r="A479" s="99"/>
      <c r="B479" s="99"/>
      <c r="C479" s="99"/>
      <c r="D479" s="99"/>
      <c r="E479" s="99"/>
      <c r="F479" s="99"/>
      <c r="G479" s="99"/>
      <c r="H479" s="100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2"/>
      <c r="X479" s="1"/>
      <c r="Y479" s="1"/>
      <c r="Z479" s="1"/>
      <c r="AA479" s="1"/>
      <c r="AB479" s="1"/>
      <c r="AC479" s="1"/>
      <c r="AD479" s="1"/>
    </row>
    <row r="480" spans="1:30" ht="14.25" customHeight="1">
      <c r="A480" s="99"/>
      <c r="B480" s="99"/>
      <c r="C480" s="99"/>
      <c r="D480" s="99"/>
      <c r="E480" s="99"/>
      <c r="F480" s="99"/>
      <c r="G480" s="99"/>
      <c r="H480" s="100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2"/>
      <c r="X480" s="1"/>
      <c r="Y480" s="1"/>
      <c r="Z480" s="1"/>
      <c r="AA480" s="1"/>
      <c r="AB480" s="1"/>
      <c r="AC480" s="1"/>
      <c r="AD480" s="1"/>
    </row>
    <row r="481" spans="1:30" ht="14.25" customHeight="1">
      <c r="A481" s="1"/>
      <c r="B481" s="1"/>
      <c r="C481" s="1"/>
      <c r="D481" s="99"/>
      <c r="E481" s="1"/>
      <c r="F481" s="1"/>
      <c r="G481" s="99"/>
      <c r="H481" s="100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2"/>
      <c r="X481" s="1"/>
      <c r="Y481" s="1"/>
      <c r="Z481" s="1"/>
      <c r="AA481" s="1"/>
      <c r="AB481" s="1"/>
      <c r="AC481" s="1"/>
      <c r="AD481" s="1"/>
    </row>
    <row r="482" spans="1:30" ht="14.25" customHeight="1">
      <c r="A482" s="1"/>
      <c r="B482" s="1"/>
      <c r="C482" s="1"/>
      <c r="D482" s="99"/>
      <c r="E482" s="1"/>
      <c r="F482" s="1"/>
      <c r="G482" s="99"/>
      <c r="H482" s="100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2"/>
      <c r="X482" s="1"/>
      <c r="Y482" s="1"/>
      <c r="Z482" s="1"/>
      <c r="AA482" s="1"/>
      <c r="AB482" s="1"/>
      <c r="AC482" s="1"/>
      <c r="AD482" s="1"/>
    </row>
    <row r="483" spans="1:30" ht="14.25" customHeight="1">
      <c r="A483" s="1"/>
      <c r="B483" s="1"/>
      <c r="C483" s="99"/>
      <c r="D483" s="99"/>
      <c r="E483" s="1"/>
      <c r="F483" s="1"/>
      <c r="G483" s="99"/>
      <c r="H483" s="100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2"/>
      <c r="X483" s="1"/>
      <c r="Y483" s="1"/>
      <c r="Z483" s="1"/>
      <c r="AA483" s="1"/>
      <c r="AB483" s="1"/>
      <c r="AC483" s="1"/>
      <c r="AD483" s="1"/>
    </row>
    <row r="484" spans="1:30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4.25" customHeight="1">
      <c r="A486" s="1"/>
      <c r="B486" s="1"/>
      <c r="C486" s="1"/>
      <c r="D486" s="1"/>
      <c r="E486" s="1"/>
      <c r="F486" s="1"/>
      <c r="G486" s="1"/>
      <c r="H486" s="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4.25" customHeight="1">
      <c r="A487" s="1"/>
      <c r="B487" s="86"/>
      <c r="C487" s="86"/>
      <c r="D487" s="86"/>
      <c r="E487" s="86"/>
      <c r="F487" s="86"/>
      <c r="G487" s="86"/>
      <c r="H487" s="87"/>
      <c r="I487" s="42"/>
      <c r="J487" s="42"/>
      <c r="K487" s="42"/>
      <c r="L487" s="42"/>
      <c r="M487" s="42"/>
      <c r="N487" s="42"/>
      <c r="O487" s="25"/>
      <c r="P487" s="25"/>
      <c r="Q487" s="48"/>
      <c r="R487" s="25"/>
      <c r="S487" s="25"/>
      <c r="T487" s="25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4.25" customHeight="1">
      <c r="A488" s="1"/>
      <c r="B488" s="90"/>
      <c r="C488" s="90"/>
      <c r="D488" s="90"/>
      <c r="E488" s="90"/>
      <c r="F488" s="90"/>
      <c r="G488" s="90"/>
      <c r="H488" s="91"/>
      <c r="I488" s="12"/>
      <c r="J488" s="12"/>
      <c r="K488" s="12"/>
      <c r="L488" s="12"/>
      <c r="M488" s="12"/>
      <c r="N488" s="12"/>
      <c r="O488" s="12"/>
      <c r="P488" s="4"/>
      <c r="Q488" s="4"/>
      <c r="R488" s="12"/>
      <c r="S488" s="12"/>
      <c r="T488" s="12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4.25" customHeight="1">
      <c r="A489" s="93"/>
      <c r="B489" s="93"/>
      <c r="C489" s="93"/>
      <c r="D489" s="93"/>
      <c r="E489" s="93"/>
      <c r="F489" s="93"/>
      <c r="G489" s="93"/>
      <c r="H489" s="93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4.25" customHeight="1">
      <c r="A490" s="99"/>
      <c r="B490" s="99"/>
      <c r="C490" s="99"/>
      <c r="D490" s="99"/>
      <c r="E490" s="99"/>
      <c r="F490" s="99"/>
      <c r="G490" s="99"/>
      <c r="H490" s="100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2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4.25" customHeight="1">
      <c r="A491" s="99"/>
      <c r="B491" s="99"/>
      <c r="C491" s="99"/>
      <c r="D491" s="99"/>
      <c r="E491" s="99"/>
      <c r="F491" s="99"/>
      <c r="G491" s="99"/>
      <c r="H491" s="100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2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4.25" customHeight="1">
      <c r="A492" s="99"/>
      <c r="B492" s="99"/>
      <c r="C492" s="99"/>
      <c r="D492" s="99"/>
      <c r="E492" s="99"/>
      <c r="F492" s="99"/>
      <c r="G492" s="99"/>
      <c r="H492" s="100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2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4.25" customHeight="1">
      <c r="A493" s="1"/>
      <c r="B493" s="1"/>
      <c r="C493" s="1"/>
      <c r="D493" s="99"/>
      <c r="E493" s="1"/>
      <c r="F493" s="1"/>
      <c r="G493" s="99"/>
      <c r="H493" s="100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2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4.25" customHeight="1">
      <c r="A494" s="1"/>
      <c r="B494" s="1"/>
      <c r="C494" s="1"/>
      <c r="D494" s="99"/>
      <c r="E494" s="1"/>
      <c r="F494" s="1"/>
      <c r="G494" s="99"/>
      <c r="H494" s="100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2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4.25" customHeight="1">
      <c r="A495" s="1"/>
      <c r="B495" s="1"/>
      <c r="C495" s="99"/>
      <c r="D495" s="99"/>
      <c r="E495" s="1"/>
      <c r="F495" s="1"/>
      <c r="G495" s="99"/>
      <c r="H495" s="100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2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4.25" customHeight="1">
      <c r="A498" s="1"/>
      <c r="B498" s="1"/>
      <c r="C498" s="1"/>
      <c r="D498" s="1"/>
      <c r="E498" s="1"/>
      <c r="F498" s="1"/>
      <c r="G498" s="1"/>
      <c r="H498" s="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4.25" customHeight="1">
      <c r="A499" s="1"/>
      <c r="B499" s="86"/>
      <c r="C499" s="86"/>
      <c r="D499" s="86"/>
      <c r="E499" s="86"/>
      <c r="F499" s="86"/>
      <c r="G499" s="86"/>
      <c r="H499" s="87"/>
      <c r="I499" s="42"/>
      <c r="J499" s="42"/>
      <c r="K499" s="42"/>
      <c r="L499" s="42"/>
      <c r="M499" s="42"/>
      <c r="N499" s="42"/>
      <c r="O499" s="25"/>
      <c r="P499" s="25"/>
      <c r="Q499" s="48"/>
      <c r="R499" s="25"/>
      <c r="S499" s="25"/>
      <c r="T499" s="25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4.25" customHeight="1">
      <c r="A500" s="1"/>
      <c r="B500" s="90"/>
      <c r="C500" s="90"/>
      <c r="D500" s="90"/>
      <c r="E500" s="90"/>
      <c r="F500" s="90"/>
      <c r="G500" s="90"/>
      <c r="H500" s="91"/>
      <c r="I500" s="12"/>
      <c r="J500" s="12"/>
      <c r="K500" s="12"/>
      <c r="L500" s="12"/>
      <c r="M500" s="12"/>
      <c r="N500" s="12"/>
      <c r="O500" s="12"/>
      <c r="P500" s="4"/>
      <c r="Q500" s="4"/>
      <c r="R500" s="12"/>
      <c r="S500" s="12"/>
      <c r="T500" s="12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4.25" customHeight="1">
      <c r="A501" s="93"/>
      <c r="B501" s="93"/>
      <c r="C501" s="93"/>
      <c r="D501" s="93"/>
      <c r="E501" s="93"/>
      <c r="F501" s="93"/>
      <c r="G501" s="93"/>
      <c r="H501" s="93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4.25" customHeight="1">
      <c r="A502" s="99"/>
      <c r="B502" s="99"/>
      <c r="C502" s="99"/>
      <c r="D502" s="99"/>
      <c r="E502" s="99"/>
      <c r="F502" s="99"/>
      <c r="G502" s="99"/>
      <c r="H502" s="100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2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4.25" customHeight="1">
      <c r="A503" s="99"/>
      <c r="B503" s="99"/>
      <c r="C503" s="99"/>
      <c r="D503" s="99"/>
      <c r="E503" s="99"/>
      <c r="F503" s="99"/>
      <c r="G503" s="99"/>
      <c r="H503" s="100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2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4.25" customHeight="1">
      <c r="A504" s="99"/>
      <c r="B504" s="99"/>
      <c r="C504" s="99"/>
      <c r="D504" s="99"/>
      <c r="E504" s="99"/>
      <c r="F504" s="99"/>
      <c r="G504" s="99"/>
      <c r="H504" s="100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2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4.25" customHeight="1">
      <c r="A505" s="1"/>
      <c r="B505" s="1"/>
      <c r="C505" s="1"/>
      <c r="D505" s="99"/>
      <c r="E505" s="1"/>
      <c r="F505" s="1"/>
      <c r="G505" s="99"/>
      <c r="H505" s="100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2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4.25" customHeight="1">
      <c r="A506" s="1"/>
      <c r="B506" s="1"/>
      <c r="C506" s="1"/>
      <c r="D506" s="99"/>
      <c r="E506" s="1"/>
      <c r="F506" s="1"/>
      <c r="G506" s="99"/>
      <c r="H506" s="100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2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4.25" customHeight="1">
      <c r="A507" s="1"/>
      <c r="B507" s="1"/>
      <c r="C507" s="99"/>
      <c r="D507" s="99"/>
      <c r="E507" s="1"/>
      <c r="F507" s="1"/>
      <c r="G507" s="99"/>
      <c r="H507" s="100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2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06"/>
      <c r="W514" s="1"/>
      <c r="X514" s="1"/>
      <c r="Y514" s="1"/>
      <c r="Z514" s="1"/>
      <c r="AA514" s="1"/>
      <c r="AB514" s="1"/>
      <c r="AC514" s="1"/>
      <c r="AD514" s="1"/>
    </row>
    <row r="515" spans="1:30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06"/>
      <c r="W515" s="1"/>
      <c r="X515" s="1"/>
      <c r="Y515" s="1"/>
      <c r="Z515" s="1"/>
      <c r="AA515" s="1"/>
      <c r="AB515" s="1"/>
      <c r="AC515" s="1"/>
      <c r="AD515" s="1"/>
    </row>
    <row r="516" spans="1:30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4.25" customHeight="1"/>
    <row r="519" spans="1:30" ht="14.25" customHeight="1"/>
    <row r="520" spans="1:30" ht="14.25" customHeight="1"/>
    <row r="521" spans="1:30" ht="14.25" customHeight="1"/>
    <row r="522" spans="1:30" ht="14.25" customHeight="1"/>
    <row r="523" spans="1:30" ht="14.25" customHeight="1"/>
    <row r="524" spans="1:30" ht="14.25" customHeight="1"/>
    <row r="525" spans="1:30" ht="14.25" customHeight="1"/>
    <row r="526" spans="1:30" ht="14.25" customHeight="1"/>
    <row r="527" spans="1:30" ht="14.25" customHeight="1"/>
    <row r="528" spans="1:30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</sheetData>
  <mergeCells count="2">
    <mergeCell ref="A8:E8"/>
    <mergeCell ref="A9:E9"/>
  </mergeCells>
  <pageMargins left="0.70866141732283472" right="0.70866141732283472" top="0.74803149606299213" bottom="0.74803149606299213" header="0" footer="0"/>
  <pageSetup paperSize="9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6:Z1019"/>
  <sheetViews>
    <sheetView topLeftCell="A100" workbookViewId="0">
      <selection activeCell="O107" sqref="O107"/>
    </sheetView>
  </sheetViews>
  <sheetFormatPr baseColWidth="10" defaultColWidth="14.42578125" defaultRowHeight="15" customHeight="1"/>
  <cols>
    <col min="1" max="1" width="30.7109375" customWidth="1"/>
    <col min="2" max="2" width="9.140625" customWidth="1"/>
    <col min="3" max="3" width="8.85546875" customWidth="1"/>
    <col min="4" max="4" width="9" customWidth="1"/>
    <col min="5" max="5" width="10.85546875" customWidth="1"/>
    <col min="6" max="6" width="10.140625" customWidth="1"/>
    <col min="7" max="7" width="10.28515625" customWidth="1"/>
    <col min="8" max="8" width="9.5703125" customWidth="1"/>
    <col min="9" max="9" width="7.7109375" customWidth="1"/>
    <col min="10" max="10" width="9.5703125" customWidth="1"/>
    <col min="11" max="11" width="10.85546875" customWidth="1"/>
    <col min="12" max="12" width="11.28515625" customWidth="1"/>
    <col min="13" max="13" width="11.5703125" customWidth="1"/>
    <col min="14" max="14" width="11" customWidth="1"/>
    <col min="15" max="15" width="8" customWidth="1"/>
    <col min="16" max="16" width="7.5703125" customWidth="1"/>
    <col min="17" max="17" width="6.85546875" customWidth="1"/>
    <col min="18" max="26" width="10.7109375" customWidth="1"/>
  </cols>
  <sheetData>
    <row r="6" spans="1:26" ht="15.75">
      <c r="A6" s="2" t="s">
        <v>0</v>
      </c>
      <c r="B6" s="3"/>
    </row>
    <row r="7" spans="1:26" ht="15.75">
      <c r="A7" s="167" t="s">
        <v>1</v>
      </c>
      <c r="B7" s="168"/>
      <c r="C7" s="168"/>
      <c r="D7" s="168"/>
      <c r="E7" s="168"/>
      <c r="F7">
        <v>14</v>
      </c>
    </row>
    <row r="8" spans="1:26" ht="15.75">
      <c r="A8" s="167" t="s">
        <v>2</v>
      </c>
      <c r="B8" s="168"/>
      <c r="C8" s="168"/>
      <c r="D8" s="168"/>
      <c r="E8" s="168"/>
      <c r="F8" s="148" t="s">
        <v>327</v>
      </c>
    </row>
    <row r="9" spans="1:26" ht="15.75">
      <c r="A9" s="6"/>
      <c r="B9" s="6"/>
      <c r="C9" s="6"/>
      <c r="D9" s="6"/>
      <c r="E9" s="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7" t="s">
        <v>3</v>
      </c>
      <c r="B10" s="6"/>
      <c r="C10" s="6"/>
      <c r="D10" s="6"/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4" t="s">
        <v>4</v>
      </c>
      <c r="B11" s="6"/>
      <c r="C11" s="6"/>
      <c r="D11" s="6"/>
      <c r="E11" s="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3"/>
      <c r="B12" s="156" t="s">
        <v>5</v>
      </c>
      <c r="C12" s="164" t="s">
        <v>6</v>
      </c>
      <c r="D12" s="156" t="s">
        <v>7</v>
      </c>
      <c r="E12" s="156" t="s">
        <v>8</v>
      </c>
      <c r="F12" s="156" t="s">
        <v>9</v>
      </c>
      <c r="G12" s="14" t="s">
        <v>10</v>
      </c>
      <c r="H12" s="156" t="s">
        <v>11</v>
      </c>
      <c r="I12" s="156" t="s">
        <v>12</v>
      </c>
      <c r="J12" s="156" t="s">
        <v>13</v>
      </c>
      <c r="K12" s="156" t="s">
        <v>14</v>
      </c>
      <c r="L12" s="154" t="s">
        <v>15</v>
      </c>
      <c r="M12" s="149" t="s">
        <v>16</v>
      </c>
      <c r="N12" s="149" t="s">
        <v>17</v>
      </c>
      <c r="O12" s="18"/>
      <c r="P12" s="18"/>
      <c r="Q12" s="18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3"/>
      <c r="B13" s="19">
        <v>94</v>
      </c>
      <c r="C13" s="19">
        <v>101</v>
      </c>
      <c r="D13" s="19">
        <v>6</v>
      </c>
      <c r="E13" s="19">
        <v>164</v>
      </c>
      <c r="F13" s="19">
        <v>90</v>
      </c>
      <c r="G13" s="19">
        <v>28</v>
      </c>
      <c r="H13" s="19">
        <v>27</v>
      </c>
      <c r="I13" s="19">
        <v>71</v>
      </c>
      <c r="J13" s="19">
        <v>148</v>
      </c>
      <c r="K13" s="19">
        <v>86</v>
      </c>
      <c r="L13" s="19">
        <v>92</v>
      </c>
      <c r="M13" s="19">
        <v>13</v>
      </c>
      <c r="N13" s="19">
        <v>22</v>
      </c>
      <c r="O13" s="18"/>
      <c r="P13" s="18"/>
      <c r="Q13" s="18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8"/>
      <c r="B14" s="19">
        <v>47</v>
      </c>
      <c r="C14" s="19">
        <v>0</v>
      </c>
      <c r="D14" s="19">
        <v>3</v>
      </c>
      <c r="E14" s="19">
        <v>82</v>
      </c>
      <c r="F14" s="19">
        <v>0</v>
      </c>
      <c r="G14" s="19">
        <v>14</v>
      </c>
      <c r="H14" s="19">
        <v>0</v>
      </c>
      <c r="I14" s="19">
        <v>0</v>
      </c>
      <c r="J14" s="19">
        <v>87</v>
      </c>
      <c r="K14" s="19">
        <v>43</v>
      </c>
      <c r="L14" s="19">
        <v>56</v>
      </c>
      <c r="M14" s="19">
        <v>0</v>
      </c>
      <c r="N14" s="19">
        <v>10</v>
      </c>
      <c r="O14" s="18"/>
      <c r="P14" s="18"/>
      <c r="Q14" s="18"/>
    </row>
    <row r="15" spans="1:26">
      <c r="A15" s="22" t="s">
        <v>20</v>
      </c>
      <c r="B15" s="107">
        <v>0</v>
      </c>
      <c r="C15" s="107">
        <f>ROUNDUP(' AZUL 2'!C15,0)</f>
        <v>13</v>
      </c>
      <c r="D15" s="107">
        <f>ROUNDUP(' AZUL 2'!D15,0)</f>
        <v>2</v>
      </c>
      <c r="E15" s="107">
        <f>ROUNDUP(' AZUL 2'!E15,0)</f>
        <v>31</v>
      </c>
      <c r="F15" s="107">
        <f>ROUNDUP(' AZUL 2'!F15,0)</f>
        <v>12</v>
      </c>
      <c r="G15" s="107">
        <f>ROUNDUP(' AZUL 2'!G15,0)</f>
        <v>6</v>
      </c>
      <c r="H15" s="107">
        <f>ROUNDUP(' AZUL 2'!H15,0)</f>
        <v>4</v>
      </c>
      <c r="I15" s="107">
        <f>ROUNDUP(' AZUL 2'!I15,0)</f>
        <v>9</v>
      </c>
      <c r="J15" s="107">
        <f>ROUNDUP(' AZUL 2'!J15,0)</f>
        <v>29</v>
      </c>
      <c r="K15" s="107">
        <f>ROUNDUP(' AZUL 2'!K15,0)</f>
        <v>16</v>
      </c>
      <c r="L15" s="107">
        <f>ROUNDUP(' AZUL 2'!L15,0)</f>
        <v>19</v>
      </c>
      <c r="M15" s="107">
        <f>ROUNDUP(' AZUL 2'!M15,0)</f>
        <v>2</v>
      </c>
      <c r="N15" s="107">
        <f>ROUNDUP(' AZUL 2'!N15,0)</f>
        <v>4</v>
      </c>
      <c r="O15" s="18"/>
      <c r="P15" s="18"/>
      <c r="Q15" s="18"/>
    </row>
    <row r="16" spans="1:26">
      <c r="A16" s="22" t="s">
        <v>21</v>
      </c>
      <c r="B16" s="107">
        <f>ROUNDUP(' AZUL 2'!B16,0)</f>
        <v>6</v>
      </c>
      <c r="C16" s="107">
        <f>ROUNDUP(' AZUL 2'!C16,0)</f>
        <v>0</v>
      </c>
      <c r="D16" s="107">
        <f>ROUNDUP(' AZUL 2'!D16,0)</f>
        <v>1</v>
      </c>
      <c r="E16" s="107">
        <f>ROUNDUP(' AZUL 2'!E16,0)</f>
        <v>10</v>
      </c>
      <c r="F16" s="107">
        <f>ROUNDUP(' AZUL 2'!F16,0)</f>
        <v>0</v>
      </c>
      <c r="G16" s="107">
        <f>ROUNDUP(' AZUL 2'!G16,0)</f>
        <v>2</v>
      </c>
      <c r="H16" s="107">
        <f>ROUNDUP(' AZUL 2'!H16,0)</f>
        <v>0</v>
      </c>
      <c r="I16" s="107">
        <f>ROUNDUP(' AZUL 2'!I16,0)</f>
        <v>0</v>
      </c>
      <c r="J16" s="107">
        <f>ROUNDUP(' AZUL 2'!J16,0)</f>
        <v>11</v>
      </c>
      <c r="K16" s="107">
        <f>ROUNDUP(' AZUL 2'!K16,0)</f>
        <v>6</v>
      </c>
      <c r="L16" s="107">
        <f>ROUNDUP(' AZUL 2'!L16,0)</f>
        <v>7</v>
      </c>
      <c r="M16" s="107">
        <f>ROUNDUP(' AZUL 2'!M16,0)</f>
        <v>0</v>
      </c>
      <c r="N16" s="107">
        <f>ROUNDUP(' AZUL 2'!N16,0)</f>
        <v>2</v>
      </c>
      <c r="O16" s="18"/>
      <c r="P16" s="18"/>
      <c r="Q16" s="18"/>
    </row>
    <row r="17" spans="1:17" ht="19.5" customHeight="1">
      <c r="A17" s="22" t="s">
        <v>22</v>
      </c>
      <c r="B17" s="107">
        <f>ROUNDUP(' AZUL 2'!B17,0)</f>
        <v>35</v>
      </c>
      <c r="C17" s="107">
        <f>ROUNDUP(' AZUL 2'!C17,0)</f>
        <v>26</v>
      </c>
      <c r="D17" s="107">
        <f>ROUNDUP(' AZUL 2'!D17,0)</f>
        <v>3</v>
      </c>
      <c r="E17" s="107">
        <f>ROUNDUP(' AZUL 2'!E17,0)</f>
        <v>62</v>
      </c>
      <c r="F17" s="107">
        <f>ROUNDUP(' AZUL 2'!F17,0)</f>
        <v>23</v>
      </c>
      <c r="G17" s="107">
        <f>ROUNDUP(' AZUL 2'!G17,0)</f>
        <v>11</v>
      </c>
      <c r="H17" s="107">
        <f>ROUNDUP(' AZUL 2'!H17,0)</f>
        <v>7</v>
      </c>
      <c r="I17" s="107">
        <f>ROUNDUP(' AZUL 2'!I17,0)</f>
        <v>18</v>
      </c>
      <c r="J17" s="107">
        <f>ROUNDUP(' AZUL 2'!J17,0)</f>
        <v>38</v>
      </c>
      <c r="K17" s="107">
        <f>ROUNDUP(' AZUL 2'!K17,0)</f>
        <v>22</v>
      </c>
      <c r="L17" s="107">
        <f>ROUNDUP(' AZUL 2'!L17,0)</f>
        <v>24</v>
      </c>
      <c r="M17" s="107">
        <f>ROUNDUP(' AZUL 2'!M17,0)</f>
        <v>4</v>
      </c>
      <c r="N17" s="107">
        <f>ROUNDUP(' AZUL 2'!N17,0)</f>
        <v>6</v>
      </c>
      <c r="O17" s="18"/>
      <c r="P17" s="18"/>
      <c r="Q17" s="18"/>
    </row>
    <row r="18" spans="1:17">
      <c r="A18" s="22" t="s">
        <v>23</v>
      </c>
      <c r="B18" s="107">
        <f>ROUNDUP(' AZUL 2'!B18,0)</f>
        <v>0</v>
      </c>
      <c r="C18" s="107">
        <f>ROUNDUP(' AZUL 2'!C18,0)</f>
        <v>0</v>
      </c>
      <c r="D18" s="107">
        <f>ROUNDUP(' AZUL 2'!D18,0)</f>
        <v>0</v>
      </c>
      <c r="E18" s="107">
        <f>ROUNDUP(' AZUL 2'!E18,0)</f>
        <v>0</v>
      </c>
      <c r="F18" s="107">
        <f>ROUNDUP(' AZUL 2'!F18,0)</f>
        <v>0</v>
      </c>
      <c r="G18" s="107">
        <f>ROUNDUP(' AZUL 2'!G18,0)</f>
        <v>0</v>
      </c>
      <c r="H18" s="107">
        <f>ROUNDUP(' AZUL 2'!H18,0)</f>
        <v>0</v>
      </c>
      <c r="I18" s="107">
        <f>ROUNDUP(' AZUL 2'!I18,0)</f>
        <v>0</v>
      </c>
      <c r="J18" s="107">
        <v>0</v>
      </c>
      <c r="K18" s="107">
        <f>ROUNDUP(' AZUL 2'!K18,0)</f>
        <v>1</v>
      </c>
      <c r="L18" s="107">
        <f>ROUNDUP(' AZUL 2'!L18,0)</f>
        <v>1</v>
      </c>
      <c r="M18" s="107">
        <f>ROUNDUP(' AZUL 2'!M18,0)</f>
        <v>0</v>
      </c>
      <c r="N18" s="107">
        <v>0</v>
      </c>
      <c r="O18" s="18"/>
      <c r="P18" s="18"/>
      <c r="Q18" s="18"/>
    </row>
    <row r="19" spans="1:17" ht="18.75" customHeight="1">
      <c r="A19" s="22" t="s">
        <v>24</v>
      </c>
      <c r="B19" s="107">
        <f>ROUNDUP(' AZUL 2'!B19,0)</f>
        <v>7</v>
      </c>
      <c r="C19" s="107">
        <f>ROUNDUP(' AZUL 2'!C19,0)</f>
        <v>0</v>
      </c>
      <c r="D19" s="107">
        <v>0</v>
      </c>
      <c r="E19" s="107">
        <f>ROUNDUP(' AZUL 2'!E19,0)</f>
        <v>12</v>
      </c>
      <c r="F19" s="107">
        <f>ROUNDUP(' AZUL 2'!F19,0)</f>
        <v>0</v>
      </c>
      <c r="G19" s="107">
        <f>ROUNDUP(' AZUL 2'!G19,0)</f>
        <v>2</v>
      </c>
      <c r="H19" s="107">
        <f>ROUNDUP(' AZUL 2'!H19,0)</f>
        <v>0</v>
      </c>
      <c r="I19" s="107">
        <f>ROUNDUP(' AZUL 2'!I19,0)</f>
        <v>0</v>
      </c>
      <c r="J19" s="107">
        <f>ROUNDUP(' AZUL 2'!J19,0)</f>
        <v>13</v>
      </c>
      <c r="K19" s="107">
        <f>ROUNDUP(' AZUL 2'!K19,0)</f>
        <v>7</v>
      </c>
      <c r="L19" s="107">
        <f>ROUNDUP(' AZUL 2'!L19,0)</f>
        <v>8</v>
      </c>
      <c r="M19" s="107">
        <f>ROUNDUP(' AZUL 2'!M19,0)</f>
        <v>0</v>
      </c>
      <c r="N19" s="107">
        <v>0</v>
      </c>
      <c r="O19" s="18"/>
      <c r="P19" s="18"/>
      <c r="Q19" s="18"/>
    </row>
    <row r="20" spans="1:17" ht="19.5" customHeight="1">
      <c r="A20" s="22" t="s">
        <v>25</v>
      </c>
      <c r="B20" s="107">
        <f>ROUNDUP(' AZUL 2'!B20,0)</f>
        <v>3</v>
      </c>
      <c r="C20" s="107">
        <f>ROUNDUP(' AZUL 2'!C20,0)</f>
        <v>0</v>
      </c>
      <c r="D20" s="107">
        <f>ROUNDUP(' AZUL 2'!D20,0)</f>
        <v>1</v>
      </c>
      <c r="E20" s="107">
        <f>ROUNDUP(' AZUL 2'!E20,0)</f>
        <v>5</v>
      </c>
      <c r="F20" s="107">
        <f>ROUNDUP(' AZUL 2'!F20,0)</f>
        <v>0</v>
      </c>
      <c r="G20" s="107">
        <f>ROUNDUP(' AZUL 2'!G20,0)</f>
        <v>1</v>
      </c>
      <c r="H20" s="107">
        <f>ROUNDUP(' AZUL 2'!H20,0)</f>
        <v>0</v>
      </c>
      <c r="I20" s="107">
        <f>ROUNDUP(' AZUL 2'!I20,0)</f>
        <v>0</v>
      </c>
      <c r="J20" s="107">
        <f>ROUNDUP(' AZUL 2'!J20,0)</f>
        <v>5</v>
      </c>
      <c r="K20" s="107">
        <f>ROUNDUP(' AZUL 2'!K20,0)</f>
        <v>3</v>
      </c>
      <c r="L20" s="107">
        <f>ROUNDUP(' AZUL 2'!L20,0)</f>
        <v>3</v>
      </c>
      <c r="M20" s="107">
        <f>ROUNDUP(' AZUL 2'!M20,0)</f>
        <v>0</v>
      </c>
      <c r="N20" s="107">
        <v>0</v>
      </c>
      <c r="O20" s="18"/>
      <c r="P20" s="18"/>
      <c r="Q20" s="18"/>
    </row>
    <row r="21" spans="1:17" ht="15.75" customHeight="1">
      <c r="A21" s="22" t="s">
        <v>26</v>
      </c>
      <c r="B21" s="107">
        <f>ROUNDUP(' AZUL 2'!B21,0)</f>
        <v>10</v>
      </c>
      <c r="C21" s="107">
        <f>ROUNDUP(' AZUL 2'!C21,0)</f>
        <v>0</v>
      </c>
      <c r="D21" s="107">
        <f>ROUNDUP(' AZUL 2'!D21,0)</f>
        <v>1</v>
      </c>
      <c r="E21" s="107">
        <f>ROUNDUP(' AZUL 2'!E21,0)</f>
        <v>17</v>
      </c>
      <c r="F21" s="107">
        <f>ROUNDUP(' AZUL 2'!F21,0)</f>
        <v>0</v>
      </c>
      <c r="G21" s="107">
        <f>ROUNDUP(' AZUL 2'!G21,0)</f>
        <v>3</v>
      </c>
      <c r="H21" s="107">
        <f>ROUNDUP(' AZUL 2'!H21,0)</f>
        <v>0</v>
      </c>
      <c r="I21" s="107">
        <f>ROUNDUP(' AZUL 2'!I21,0)</f>
        <v>0</v>
      </c>
      <c r="J21" s="107">
        <f>ROUNDUP(' AZUL 2'!J21,0)</f>
        <v>18</v>
      </c>
      <c r="K21" s="107">
        <f>ROUNDUP(' AZUL 2'!K21,0)</f>
        <v>9</v>
      </c>
      <c r="L21" s="107">
        <f>ROUNDUP(' AZUL 2'!L21,0)</f>
        <v>12</v>
      </c>
      <c r="M21" s="107">
        <f>ROUNDUP(' AZUL 2'!M21,0)</f>
        <v>0</v>
      </c>
      <c r="N21" s="107">
        <f>ROUNDUP(' AZUL 2'!N21,0)</f>
        <v>2</v>
      </c>
      <c r="O21" s="18"/>
      <c r="P21" s="18"/>
      <c r="Q21" s="18"/>
    </row>
    <row r="22" spans="1:17" ht="15.75" customHeight="1">
      <c r="A22" s="22" t="s">
        <v>27</v>
      </c>
      <c r="B22" s="107">
        <f>ROUNDUP(' AZUL 2'!B22,0)</f>
        <v>4</v>
      </c>
      <c r="C22" s="107">
        <f>ROUNDUP(' AZUL 2'!C22,0)</f>
        <v>0</v>
      </c>
      <c r="D22" s="107">
        <f>ROUNDUP(' AZUL 2'!D22,0)</f>
        <v>1</v>
      </c>
      <c r="E22" s="107">
        <f>ROUNDUP(' AZUL 2'!E22,0)</f>
        <v>7</v>
      </c>
      <c r="F22" s="107">
        <f>ROUNDUP(' AZUL 2'!F22,0)</f>
        <v>0</v>
      </c>
      <c r="G22" s="107">
        <f>ROUNDUP(' AZUL 2'!G22,0)</f>
        <v>2</v>
      </c>
      <c r="H22" s="107">
        <f>ROUNDUP(' AZUL 2'!H22,0)</f>
        <v>0</v>
      </c>
      <c r="I22" s="107">
        <f>ROUNDUP(' AZUL 2'!I22,0)</f>
        <v>0</v>
      </c>
      <c r="J22" s="107">
        <f>ROUNDUP(' AZUL 2'!J22,0)</f>
        <v>7</v>
      </c>
      <c r="K22" s="107">
        <f>ROUNDUP(' AZUL 2'!K22,0)</f>
        <v>4</v>
      </c>
      <c r="L22" s="107">
        <f>ROUNDUP(' AZUL 2'!L22,0)</f>
        <v>5</v>
      </c>
      <c r="M22" s="107">
        <f>ROUNDUP(' AZUL 2'!M22,0)</f>
        <v>0</v>
      </c>
      <c r="N22" s="107">
        <f>ROUNDUP(' AZUL 2'!N22,0)</f>
        <v>1</v>
      </c>
      <c r="O22" s="18"/>
      <c r="P22" s="18"/>
      <c r="Q22" s="18"/>
    </row>
    <row r="23" spans="1:17" ht="15.75" customHeight="1">
      <c r="A23" s="22" t="s">
        <v>28</v>
      </c>
      <c r="B23" s="107">
        <v>0</v>
      </c>
      <c r="C23" s="107">
        <f>ROUNDUP(' AZUL 2'!C23,0)</f>
        <v>0</v>
      </c>
      <c r="D23" s="107">
        <v>0</v>
      </c>
      <c r="E23" s="107">
        <f>ROUNDUP(' AZUL 2'!E23,0)</f>
        <v>5</v>
      </c>
      <c r="F23" s="107">
        <f>ROUNDUP(' AZUL 2'!F23,0)</f>
        <v>0</v>
      </c>
      <c r="G23" s="107">
        <f>ROUNDUP(' AZUL 2'!G23,0)</f>
        <v>1</v>
      </c>
      <c r="H23" s="107">
        <f>ROUNDUP(' AZUL 2'!H23,0)</f>
        <v>0</v>
      </c>
      <c r="I23" s="107">
        <f>ROUNDUP(' AZUL 2'!I23,0)</f>
        <v>0</v>
      </c>
      <c r="J23" s="107">
        <f>ROUNDUP(' AZUL 2'!J23,0)</f>
        <v>5</v>
      </c>
      <c r="K23" s="107">
        <f>ROUNDUP(' AZUL 2'!K23,0)</f>
        <v>3</v>
      </c>
      <c r="L23" s="107">
        <f>ROUNDUP(' AZUL 2'!L23,0)</f>
        <v>3</v>
      </c>
      <c r="M23" s="107">
        <f>ROUNDUP(' AZUL 2'!M23,0)</f>
        <v>0</v>
      </c>
      <c r="N23" s="107">
        <v>0</v>
      </c>
      <c r="O23" s="18"/>
      <c r="P23" s="18"/>
      <c r="Q23" s="18"/>
    </row>
    <row r="24" spans="1:17" ht="15.75" customHeight="1">
      <c r="A24" s="22" t="s">
        <v>29</v>
      </c>
      <c r="B24" s="107">
        <v>0</v>
      </c>
      <c r="C24" s="107">
        <f>ROUNDUP(' AZUL 2'!C24,0)</f>
        <v>0</v>
      </c>
      <c r="D24" s="107">
        <v>0</v>
      </c>
      <c r="E24" s="107">
        <f>ROUNDUP(' AZUL 2'!E24,0)</f>
        <v>3</v>
      </c>
      <c r="F24" s="107">
        <f>ROUNDUP(' AZUL 2'!F24,0)</f>
        <v>0</v>
      </c>
      <c r="G24" s="107">
        <f>ROUNDUP(' AZUL 2'!G24,0)</f>
        <v>1</v>
      </c>
      <c r="H24" s="107">
        <f>ROUNDUP(' AZUL 2'!H24,0)</f>
        <v>0</v>
      </c>
      <c r="I24" s="107">
        <f>ROUNDUP(' AZUL 2'!I24,0)</f>
        <v>0</v>
      </c>
      <c r="J24" s="107">
        <f>ROUNDUP(' AZUL 2'!J24,0)</f>
        <v>4</v>
      </c>
      <c r="K24" s="107">
        <f>ROUNDUP(' AZUL 2'!K24,0)</f>
        <v>2</v>
      </c>
      <c r="L24" s="107">
        <f>ROUNDUP(' AZUL 2'!L24,0)</f>
        <v>2</v>
      </c>
      <c r="M24" s="107">
        <f>ROUNDUP(' AZUL 2'!M24,0)</f>
        <v>0</v>
      </c>
      <c r="N24" s="107">
        <f>ROUNDUP(' AZUL 2'!N24,0)</f>
        <v>1</v>
      </c>
      <c r="O24" s="18"/>
      <c r="P24" s="18"/>
      <c r="Q24" s="18"/>
    </row>
    <row r="25" spans="1:17" ht="15.75" customHeight="1">
      <c r="A25" s="22" t="s">
        <v>30</v>
      </c>
      <c r="B25" s="107">
        <f>ROUNDUP(' AZUL 2'!B25,0)</f>
        <v>1</v>
      </c>
      <c r="C25" s="107">
        <f>ROUNDUP(' AZUL 2'!C25,0)</f>
        <v>0</v>
      </c>
      <c r="D25" s="107">
        <v>0</v>
      </c>
      <c r="E25" s="107">
        <f>ROUNDUP(' AZUL 2'!E25,0)</f>
        <v>1</v>
      </c>
      <c r="F25" s="107">
        <f>ROUNDUP(' AZUL 2'!F25,0)</f>
        <v>0</v>
      </c>
      <c r="G25" s="107">
        <f>ROUNDUP(' AZUL 2'!G25,0)</f>
        <v>1</v>
      </c>
      <c r="H25" s="107">
        <f>ROUNDUP(' AZUL 2'!H25,0)</f>
        <v>0</v>
      </c>
      <c r="I25" s="107">
        <f>ROUNDUP(' AZUL 2'!I25,0)</f>
        <v>0</v>
      </c>
      <c r="J25" s="107">
        <f>ROUNDUP(' AZUL 2'!J25,0)</f>
        <v>1</v>
      </c>
      <c r="K25" s="107">
        <f>ROUNDUP(' AZUL 2'!K25,0)</f>
        <v>1</v>
      </c>
      <c r="L25" s="107">
        <f>ROUNDUP(' AZUL 2'!L25,0)</f>
        <v>1</v>
      </c>
      <c r="M25" s="107">
        <f>ROUNDUP(' AZUL 2'!M25,0)</f>
        <v>0</v>
      </c>
      <c r="N25" s="107">
        <v>0</v>
      </c>
      <c r="O25" s="18"/>
      <c r="P25" s="18"/>
      <c r="Q25" s="18"/>
    </row>
    <row r="26" spans="1:17" ht="15.75" customHeight="1">
      <c r="A26" s="22" t="s">
        <v>31</v>
      </c>
      <c r="B26" s="107">
        <f>ROUNDUP(' AZUL 2'!B26,0)</f>
        <v>1</v>
      </c>
      <c r="C26" s="107">
        <f>ROUNDUP(' AZUL 2'!C26,0)</f>
        <v>0</v>
      </c>
      <c r="D26" s="107">
        <v>0</v>
      </c>
      <c r="E26" s="107">
        <f>ROUNDUP(' AZUL 2'!E26,0)</f>
        <v>1</v>
      </c>
      <c r="F26" s="107">
        <f>ROUNDUP(' AZUL 2'!F26,0)</f>
        <v>0</v>
      </c>
      <c r="G26" s="107">
        <f>ROUNDUP(' AZUL 2'!G26,0)</f>
        <v>1</v>
      </c>
      <c r="H26" s="107">
        <f>ROUNDUP(' AZUL 2'!H26,0)</f>
        <v>0</v>
      </c>
      <c r="I26" s="107">
        <f>ROUNDUP(' AZUL 2'!I26,0)</f>
        <v>0</v>
      </c>
      <c r="J26" s="107">
        <f>ROUNDUP(' AZUL 2'!J26,0)</f>
        <v>1</v>
      </c>
      <c r="K26" s="107">
        <f>ROUNDUP(' AZUL 2'!K26,0)</f>
        <v>1</v>
      </c>
      <c r="L26" s="107">
        <f>ROUNDUP(' AZUL 2'!L26,0)</f>
        <v>1</v>
      </c>
      <c r="M26" s="107">
        <f>ROUNDUP(' AZUL 2'!M26,0)</f>
        <v>0</v>
      </c>
      <c r="N26" s="107">
        <v>0</v>
      </c>
      <c r="O26" s="18"/>
      <c r="P26" s="18"/>
      <c r="Q26" s="18"/>
    </row>
    <row r="27" spans="1:17" ht="18.75" customHeight="1">
      <c r="A27" s="22" t="s">
        <v>32</v>
      </c>
      <c r="B27" s="107">
        <f>ROUNDUP(' AZUL 2'!B$27,0)</f>
        <v>6</v>
      </c>
      <c r="C27" s="107">
        <f>ROUNDUP(' AZUL 2'!C$27,0)</f>
        <v>0</v>
      </c>
      <c r="D27" s="107">
        <f>ROUNDUP(' AZUL 2'!D$27,0)</f>
        <v>1</v>
      </c>
      <c r="E27" s="107">
        <f>ROUNDUP(' AZUL 2'!E$27,0)</f>
        <v>11</v>
      </c>
      <c r="F27" s="107">
        <f>ROUNDUP(' AZUL 2'!F$27,0)</f>
        <v>0</v>
      </c>
      <c r="G27" s="107">
        <f>ROUNDUP(' AZUL 2'!G$27,0)</f>
        <v>2</v>
      </c>
      <c r="H27" s="107">
        <f>ROUNDUP(' AZUL 2'!H$27,0)</f>
        <v>0</v>
      </c>
      <c r="I27" s="107">
        <f>ROUNDUP(' AZUL 2'!I$27,0)</f>
        <v>0</v>
      </c>
      <c r="J27" s="107">
        <f>ROUNDUP(' AZUL 2'!J$27,0)</f>
        <v>11</v>
      </c>
      <c r="K27" s="107">
        <f>ROUNDUP(' AZUL 2'!K$27,0)</f>
        <v>6</v>
      </c>
      <c r="L27" s="107">
        <f>ROUNDUP(' AZUL 2'!L$27,0)</f>
        <v>7</v>
      </c>
      <c r="M27" s="107">
        <f>ROUNDUP(' AZUL 2'!M$27,0)</f>
        <v>0</v>
      </c>
      <c r="N27" s="107">
        <f>ROUNDUP(' AZUL 2'!N$27,0)</f>
        <v>2</v>
      </c>
      <c r="O27" s="18"/>
      <c r="P27" s="18"/>
      <c r="Q27" s="18"/>
    </row>
    <row r="28" spans="1:17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pans="1:17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</row>
    <row r="30" spans="1:17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</row>
    <row r="31" spans="1:17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</row>
    <row r="32" spans="1:17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</row>
    <row r="33" spans="1:17" ht="15.75" customHeight="1">
      <c r="A33" s="18"/>
      <c r="B33" s="151" t="s">
        <v>34</v>
      </c>
      <c r="C33" s="159" t="s">
        <v>35</v>
      </c>
      <c r="D33" s="151" t="s">
        <v>36</v>
      </c>
      <c r="E33" s="153" t="s">
        <v>37</v>
      </c>
      <c r="F33" s="151" t="s">
        <v>38</v>
      </c>
      <c r="G33" s="153" t="s">
        <v>39</v>
      </c>
      <c r="H33" s="158" t="s">
        <v>40</v>
      </c>
      <c r="I33" s="151" t="s">
        <v>41</v>
      </c>
      <c r="J33" s="151" t="s">
        <v>42</v>
      </c>
      <c r="K33" s="153" t="s">
        <v>43</v>
      </c>
      <c r="L33" s="151" t="s">
        <v>44</v>
      </c>
      <c r="M33" s="151" t="s">
        <v>45</v>
      </c>
      <c r="N33" s="153" t="s">
        <v>46</v>
      </c>
      <c r="O33" s="18"/>
      <c r="P33" s="18"/>
      <c r="Q33" s="18"/>
    </row>
    <row r="34" spans="1:17" ht="15.75" customHeight="1">
      <c r="A34" s="18"/>
      <c r="B34" s="19">
        <v>49</v>
      </c>
      <c r="C34" s="19">
        <v>230</v>
      </c>
      <c r="D34" s="19">
        <v>19</v>
      </c>
      <c r="E34" s="19">
        <v>38</v>
      </c>
      <c r="F34" s="19">
        <v>26</v>
      </c>
      <c r="G34" s="19">
        <v>5</v>
      </c>
      <c r="H34" s="19">
        <v>5</v>
      </c>
      <c r="I34" s="19">
        <v>8</v>
      </c>
      <c r="J34" s="19">
        <v>8</v>
      </c>
      <c r="K34" s="19">
        <v>7</v>
      </c>
      <c r="L34" s="19">
        <v>10</v>
      </c>
      <c r="M34" s="19">
        <v>17</v>
      </c>
      <c r="N34" s="19">
        <v>9</v>
      </c>
      <c r="O34" s="18"/>
      <c r="P34" s="18"/>
      <c r="Q34" s="18"/>
    </row>
    <row r="35" spans="1:17" ht="15.75" customHeight="1">
      <c r="A35" s="18"/>
      <c r="B35" s="19">
        <v>40</v>
      </c>
      <c r="C35" s="19">
        <v>115</v>
      </c>
      <c r="D35" s="19">
        <v>0</v>
      </c>
      <c r="E35" s="19">
        <v>0</v>
      </c>
      <c r="F35" s="19">
        <v>13</v>
      </c>
      <c r="G35" s="19">
        <v>1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3</v>
      </c>
      <c r="O35" s="18"/>
      <c r="P35" s="18"/>
      <c r="Q35" s="18"/>
    </row>
    <row r="36" spans="1:17" ht="15.75" customHeight="1">
      <c r="A36" s="22" t="s">
        <v>20</v>
      </c>
      <c r="B36" s="107">
        <v>0</v>
      </c>
      <c r="C36" s="107">
        <f>ROUNDUP(' AZUL 2'!C40,0)</f>
        <v>43</v>
      </c>
      <c r="D36" s="107">
        <v>2</v>
      </c>
      <c r="E36" s="107">
        <f>ROUNDUP(' AZUL 2'!E40,0)</f>
        <v>5</v>
      </c>
      <c r="F36" s="107">
        <f>ROUNDUP(' AZUL 2'!F40,0)</f>
        <v>5</v>
      </c>
      <c r="G36" s="107">
        <v>0</v>
      </c>
      <c r="H36" s="107">
        <v>0</v>
      </c>
      <c r="I36" s="107">
        <f>ROUNDUP(' AZUL 2'!I40,0)</f>
        <v>1</v>
      </c>
      <c r="J36" s="107">
        <f>ROUNDUP(' AZUL 2'!J40,0)</f>
        <v>1</v>
      </c>
      <c r="K36" s="107">
        <v>0</v>
      </c>
      <c r="L36" s="107">
        <f>ROUNDUP(' AZUL 2'!L40,0)</f>
        <v>2</v>
      </c>
      <c r="M36" s="107">
        <f>ROUNDUP(' AZUL 2'!M40,0)</f>
        <v>3</v>
      </c>
      <c r="N36" s="107">
        <f>ROUNDUP(' AZUL 2'!N40,0)</f>
        <v>2</v>
      </c>
      <c r="O36" s="18"/>
      <c r="P36" s="18"/>
      <c r="Q36" s="18"/>
    </row>
    <row r="37" spans="1:17" ht="15.75" customHeight="1">
      <c r="A37" s="22" t="s">
        <v>21</v>
      </c>
      <c r="B37" s="107">
        <f>ROUNDUP(' AZUL 2'!B41,0)</f>
        <v>5</v>
      </c>
      <c r="C37" s="107">
        <f>ROUNDUP(' AZUL 2'!C41,0)</f>
        <v>14</v>
      </c>
      <c r="D37" s="107">
        <f>ROUNDUP(' AZUL 2'!D41,0)</f>
        <v>0</v>
      </c>
      <c r="E37" s="107">
        <f>ROUNDUP(' AZUL 2'!E41,0)</f>
        <v>0</v>
      </c>
      <c r="F37" s="107">
        <f>ROUNDUP(' AZUL 2'!F41,0)</f>
        <v>2</v>
      </c>
      <c r="G37" s="107">
        <v>0</v>
      </c>
      <c r="H37" s="107">
        <v>0</v>
      </c>
      <c r="I37" s="107">
        <f>ROUNDUP(' AZUL 2'!I41,0)</f>
        <v>0</v>
      </c>
      <c r="J37" s="107">
        <f>ROUNDUP(' AZUL 2'!J41,0)</f>
        <v>0</v>
      </c>
      <c r="K37" s="107">
        <v>0</v>
      </c>
      <c r="L37" s="107">
        <f>ROUNDUP(' AZUL 2'!L41,0)</f>
        <v>0</v>
      </c>
      <c r="M37" s="107">
        <f>ROUNDUP(' AZUL 2'!M41,0)</f>
        <v>0</v>
      </c>
      <c r="N37" s="107">
        <f>ROUNDUP(' AZUL 2'!N41,0)</f>
        <v>1</v>
      </c>
      <c r="O37" s="18"/>
      <c r="P37" s="18"/>
      <c r="Q37" s="18"/>
    </row>
    <row r="38" spans="1:17" ht="15.75" customHeight="1">
      <c r="A38" s="22" t="s">
        <v>22</v>
      </c>
      <c r="B38" s="107">
        <f>ROUNDUP(' AZUL 2'!B42,0)</f>
        <v>22</v>
      </c>
      <c r="C38" s="107">
        <f>ROUNDUP(' AZUL 2'!C42,0)</f>
        <v>86</v>
      </c>
      <c r="D38" s="107">
        <v>2</v>
      </c>
      <c r="E38" s="107">
        <f>ROUNDUP(' AZUL 2'!E42,0)</f>
        <v>10</v>
      </c>
      <c r="F38" s="107">
        <f>ROUNDUP(' AZUL 2'!F42,0)</f>
        <v>10</v>
      </c>
      <c r="G38" s="107">
        <v>0</v>
      </c>
      <c r="H38" s="107">
        <v>0</v>
      </c>
      <c r="I38" s="107">
        <f>ROUNDUP(' AZUL 2'!I42,0)</f>
        <v>2</v>
      </c>
      <c r="J38" s="107">
        <f>ROUNDUP(' AZUL 2'!J42,0)</f>
        <v>2</v>
      </c>
      <c r="K38" s="107">
        <v>0</v>
      </c>
      <c r="L38" s="107">
        <f>ROUNDUP(' AZUL 2'!L42,0)</f>
        <v>3</v>
      </c>
      <c r="M38" s="107">
        <f>ROUNDUP(' AZUL 2'!M42,0)</f>
        <v>5</v>
      </c>
      <c r="N38" s="107">
        <v>0</v>
      </c>
      <c r="O38" s="18"/>
      <c r="P38" s="18"/>
      <c r="Q38" s="18"/>
    </row>
    <row r="39" spans="1:17" ht="15.75" customHeight="1">
      <c r="A39" s="22" t="s">
        <v>23</v>
      </c>
      <c r="B39" s="107">
        <f>ROUNDUP(' AZUL 2'!B43,0)</f>
        <v>0</v>
      </c>
      <c r="C39" s="107">
        <f>ROUNDUP(' AZUL 2'!C43,0)</f>
        <v>0</v>
      </c>
      <c r="D39" s="107">
        <f>ROUNDUP(' AZUL 2'!D43,0)</f>
        <v>0</v>
      </c>
      <c r="E39" s="107">
        <f>ROUNDUP(' AZUL 2'!E43,0)</f>
        <v>0</v>
      </c>
      <c r="F39" s="107">
        <f>ROUNDUP(' AZUL 2'!F43,0)</f>
        <v>0</v>
      </c>
      <c r="G39" s="107">
        <v>0</v>
      </c>
      <c r="H39" s="107">
        <v>0</v>
      </c>
      <c r="I39" s="107">
        <f>ROUNDUP(' AZUL 2'!I43,0)</f>
        <v>0</v>
      </c>
      <c r="J39" s="107">
        <f>ROUNDUP(' AZUL 2'!J43,0)</f>
        <v>0</v>
      </c>
      <c r="K39" s="107">
        <v>0</v>
      </c>
      <c r="L39" s="107">
        <f>ROUNDUP(' AZUL 2'!L43,0)</f>
        <v>0</v>
      </c>
      <c r="M39" s="107">
        <f>ROUNDUP(' AZUL 2'!M43,0)</f>
        <v>0</v>
      </c>
      <c r="N39" s="107">
        <f>ROUNDUP(' AZUL 2'!N43,0)</f>
        <v>0</v>
      </c>
      <c r="O39" s="18"/>
      <c r="P39" s="18"/>
      <c r="Q39" s="18"/>
    </row>
    <row r="40" spans="1:17" ht="15.75" customHeight="1">
      <c r="A40" s="22" t="s">
        <v>24</v>
      </c>
      <c r="B40" s="107">
        <f>ROUNDUP(' AZUL 2'!B44,0)</f>
        <v>6</v>
      </c>
      <c r="C40" s="107">
        <f>ROUNDUP(' AZUL 2'!C44,0)</f>
        <v>17</v>
      </c>
      <c r="D40" s="107">
        <f>ROUNDUP(' AZUL 2'!D44,0)</f>
        <v>0</v>
      </c>
      <c r="E40" s="107">
        <f>ROUNDUP(' AZUL 2'!E44,0)</f>
        <v>0</v>
      </c>
      <c r="F40" s="107">
        <f>ROUNDUP(' AZUL 2'!F44,0)</f>
        <v>2</v>
      </c>
      <c r="G40" s="107">
        <v>0</v>
      </c>
      <c r="H40" s="107">
        <f>ROUNDUP(' AZUL 2'!H44,0)</f>
        <v>0</v>
      </c>
      <c r="I40" s="107">
        <f>ROUNDUP(' AZUL 2'!I44,0)</f>
        <v>0</v>
      </c>
      <c r="J40" s="107">
        <f>ROUNDUP(' AZUL 2'!J44,0)</f>
        <v>0</v>
      </c>
      <c r="K40" s="107">
        <f>ROUNDUP(' AZUL 2'!K44,0)</f>
        <v>0</v>
      </c>
      <c r="L40" s="107">
        <f>ROUNDUP(' AZUL 2'!L44,0)</f>
        <v>0</v>
      </c>
      <c r="M40" s="107">
        <f>ROUNDUP(' AZUL 2'!M44,0)</f>
        <v>0</v>
      </c>
      <c r="N40" s="107">
        <f>ROUNDUP(' AZUL 2'!N44,0)</f>
        <v>1</v>
      </c>
      <c r="O40" s="18"/>
      <c r="P40" s="18"/>
      <c r="Q40" s="18"/>
    </row>
    <row r="41" spans="1:17" ht="15.75" customHeight="1">
      <c r="A41" s="22" t="s">
        <v>25</v>
      </c>
      <c r="B41" s="107">
        <v>0</v>
      </c>
      <c r="C41" s="107">
        <f>ROUNDUP(' AZUL 2'!C45,0)</f>
        <v>1</v>
      </c>
      <c r="D41" s="107">
        <f>ROUNDUP(' AZUL 2'!D45,0)</f>
        <v>0</v>
      </c>
      <c r="E41" s="107">
        <f>ROUNDUP(' AZUL 2'!E45,0)</f>
        <v>0</v>
      </c>
      <c r="F41" s="107">
        <f>ROUNDUP(' AZUL 2'!F45,0)</f>
        <v>1</v>
      </c>
      <c r="G41" s="107">
        <v>0</v>
      </c>
      <c r="H41" s="107">
        <f>ROUNDUP(' AZUL 2'!H45,0)</f>
        <v>0</v>
      </c>
      <c r="I41" s="107">
        <f>ROUNDUP(' AZUL 2'!I45,0)</f>
        <v>0</v>
      </c>
      <c r="J41" s="107">
        <f>ROUNDUP(' AZUL 2'!J45,0)</f>
        <v>0</v>
      </c>
      <c r="K41" s="107">
        <f>ROUNDUP(' AZUL 2'!K45,0)</f>
        <v>0</v>
      </c>
      <c r="L41" s="107">
        <f>ROUNDUP(' AZUL 2'!L45,0)</f>
        <v>0</v>
      </c>
      <c r="M41" s="107">
        <f>ROUNDUP(' AZUL 2'!M45,0)</f>
        <v>0</v>
      </c>
      <c r="N41" s="107">
        <v>0</v>
      </c>
      <c r="O41" s="18"/>
      <c r="P41" s="18"/>
      <c r="Q41" s="18"/>
    </row>
    <row r="42" spans="1:17" ht="15.75" customHeight="1">
      <c r="A42" s="22" t="s">
        <v>26</v>
      </c>
      <c r="B42" s="107">
        <f>ROUNDUP(' AZUL 2'!B46,0)</f>
        <v>8</v>
      </c>
      <c r="C42" s="107">
        <f>ROUNDUP(' AZUL 2'!C46,0)</f>
        <v>23</v>
      </c>
      <c r="D42" s="107">
        <f>ROUNDUP(' AZUL 2'!D46,0)</f>
        <v>0</v>
      </c>
      <c r="E42" s="107">
        <f>ROUNDUP(' AZUL 2'!E46,0)</f>
        <v>0</v>
      </c>
      <c r="F42" s="107">
        <f>ROUNDUP(' AZUL 2'!F46,0)</f>
        <v>3</v>
      </c>
      <c r="G42" s="107">
        <v>0</v>
      </c>
      <c r="H42" s="107">
        <f>ROUNDUP(' AZUL 2'!H46,0)</f>
        <v>0</v>
      </c>
      <c r="I42" s="107">
        <f>ROUNDUP(' AZUL 2'!I46,0)</f>
        <v>0</v>
      </c>
      <c r="J42" s="107">
        <f>ROUNDUP(' AZUL 2'!J46,0)</f>
        <v>0</v>
      </c>
      <c r="K42" s="107">
        <f>ROUNDUP(' AZUL 2'!K46,0)</f>
        <v>0</v>
      </c>
      <c r="L42" s="107">
        <f>ROUNDUP(' AZUL 2'!L46,0)</f>
        <v>0</v>
      </c>
      <c r="M42" s="107">
        <f>ROUNDUP(' AZUL 2'!M46,0)</f>
        <v>0</v>
      </c>
      <c r="N42" s="107">
        <f>ROUNDUP(' AZUL 2'!N46,0)</f>
        <v>1</v>
      </c>
      <c r="O42" s="18"/>
      <c r="P42" s="18"/>
      <c r="Q42" s="18"/>
    </row>
    <row r="43" spans="1:17" ht="15.75" customHeight="1">
      <c r="A43" s="22" t="s">
        <v>27</v>
      </c>
      <c r="B43" s="107">
        <v>0</v>
      </c>
      <c r="C43" s="107">
        <f>ROUNDUP(' AZUL 2'!C47,0)</f>
        <v>9</v>
      </c>
      <c r="D43" s="107">
        <f>ROUNDUP(' AZUL 2'!D47,0)</f>
        <v>0</v>
      </c>
      <c r="E43" s="107">
        <f>ROUNDUP(' AZUL 2'!E47,0)</f>
        <v>0</v>
      </c>
      <c r="F43" s="107">
        <f>ROUNDUP(' AZUL 2'!F47,0)</f>
        <v>1</v>
      </c>
      <c r="G43" s="107">
        <v>0</v>
      </c>
      <c r="H43" s="107">
        <f>ROUNDUP(' AZUL 2'!H47,0)</f>
        <v>0</v>
      </c>
      <c r="I43" s="107">
        <f>ROUNDUP(' AZUL 2'!I47,0)</f>
        <v>0</v>
      </c>
      <c r="J43" s="107">
        <f>ROUNDUP(' AZUL 2'!J47,0)</f>
        <v>0</v>
      </c>
      <c r="K43" s="107">
        <f>ROUNDUP(' AZUL 2'!K47,0)</f>
        <v>0</v>
      </c>
      <c r="L43" s="107">
        <f>ROUNDUP(' AZUL 2'!L47,0)</f>
        <v>0</v>
      </c>
      <c r="M43" s="107">
        <f>ROUNDUP(' AZUL 2'!M47,0)</f>
        <v>0</v>
      </c>
      <c r="N43" s="107">
        <v>0</v>
      </c>
      <c r="O43" s="18"/>
      <c r="P43" s="18"/>
      <c r="Q43" s="18"/>
    </row>
    <row r="44" spans="1:17" ht="15.75" customHeight="1">
      <c r="A44" s="22" t="s">
        <v>28</v>
      </c>
      <c r="B44" s="107">
        <v>0</v>
      </c>
      <c r="C44" s="107">
        <f>ROUNDUP(' AZUL 2'!C48,0)</f>
        <v>6</v>
      </c>
      <c r="D44" s="107">
        <f>ROUNDUP(' AZUL 2'!D48,0)</f>
        <v>0</v>
      </c>
      <c r="E44" s="107">
        <f>ROUNDUP(' AZUL 2'!E48,0)</f>
        <v>0</v>
      </c>
      <c r="F44" s="107">
        <f>ROUNDUP(' AZUL 2'!F48,0)</f>
        <v>1</v>
      </c>
      <c r="G44" s="107">
        <v>0</v>
      </c>
      <c r="H44" s="107">
        <f>ROUNDUP(' AZUL 2'!H48,0)</f>
        <v>0</v>
      </c>
      <c r="I44" s="107">
        <f>ROUNDUP(' AZUL 2'!I48,0)</f>
        <v>0</v>
      </c>
      <c r="J44" s="107">
        <f>ROUNDUP(' AZUL 2'!J48,0)</f>
        <v>0</v>
      </c>
      <c r="K44" s="107">
        <f>ROUNDUP(' AZUL 2'!K48,0)</f>
        <v>0</v>
      </c>
      <c r="L44" s="107">
        <f>ROUNDUP(' AZUL 2'!L48,0)</f>
        <v>0</v>
      </c>
      <c r="M44" s="107">
        <f>ROUNDUP(' AZUL 2'!M48,0)</f>
        <v>0</v>
      </c>
      <c r="N44" s="107">
        <v>0</v>
      </c>
      <c r="O44" s="18"/>
      <c r="P44" s="18"/>
      <c r="Q44" s="18"/>
    </row>
    <row r="45" spans="1:17" ht="15.75" customHeight="1">
      <c r="A45" s="22" t="s">
        <v>29</v>
      </c>
      <c r="B45" s="107">
        <f>ROUNDUP(' AZUL 2'!B49,0)</f>
        <v>2</v>
      </c>
      <c r="C45" s="107">
        <f>ROUNDUP(' AZUL 2'!C49,0)</f>
        <v>5</v>
      </c>
      <c r="D45" s="107">
        <f>ROUNDUP(' AZUL 2'!D49,0)</f>
        <v>0</v>
      </c>
      <c r="E45" s="107">
        <f>ROUNDUP(' AZUL 2'!E49,0)</f>
        <v>0</v>
      </c>
      <c r="F45" s="107">
        <f>ROUNDUP(' AZUL 2'!F49,0)</f>
        <v>1</v>
      </c>
      <c r="G45" s="107">
        <v>0</v>
      </c>
      <c r="H45" s="107">
        <f>ROUNDUP(' AZUL 2'!H49,0)</f>
        <v>0</v>
      </c>
      <c r="I45" s="107">
        <f>ROUNDUP(' AZUL 2'!I49,0)</f>
        <v>0</v>
      </c>
      <c r="J45" s="107">
        <f>ROUNDUP(' AZUL 2'!J49,0)</f>
        <v>0</v>
      </c>
      <c r="K45" s="107">
        <f>ROUNDUP(' AZUL 2'!K49,0)</f>
        <v>0</v>
      </c>
      <c r="L45" s="107">
        <f>ROUNDUP(' AZUL 2'!L49,0)</f>
        <v>0</v>
      </c>
      <c r="M45" s="107">
        <f>ROUNDUP(' AZUL 2'!M49,0)</f>
        <v>0</v>
      </c>
      <c r="N45" s="107">
        <v>0</v>
      </c>
      <c r="O45" s="18"/>
      <c r="P45" s="18"/>
      <c r="Q45" s="18"/>
    </row>
    <row r="46" spans="1:17" ht="15.75" customHeight="1">
      <c r="A46" s="22" t="s">
        <v>30</v>
      </c>
      <c r="B46" s="107">
        <f>ROUNDUP(' AZUL 2'!B50,0)</f>
        <v>1</v>
      </c>
      <c r="C46" s="107">
        <f>ROUNDUP(' AZUL 2'!C50,0)</f>
        <v>1</v>
      </c>
      <c r="D46" s="107">
        <f>ROUNDUP(' AZUL 2'!D50,0)</f>
        <v>0</v>
      </c>
      <c r="E46" s="107">
        <f>ROUNDUP(' AZUL 2'!E50,0)</f>
        <v>0</v>
      </c>
      <c r="F46" s="107">
        <f>ROUNDUP(' AZUL 2'!F50,0)</f>
        <v>1</v>
      </c>
      <c r="G46" s="107">
        <v>0</v>
      </c>
      <c r="H46" s="107">
        <f>ROUNDUP(' AZUL 2'!H50,0)</f>
        <v>0</v>
      </c>
      <c r="I46" s="107">
        <f>ROUNDUP(' AZUL 2'!I50,0)</f>
        <v>0</v>
      </c>
      <c r="J46" s="107">
        <f>ROUNDUP(' AZUL 2'!J50,0)</f>
        <v>0</v>
      </c>
      <c r="K46" s="107">
        <f>ROUNDUP(' AZUL 2'!K50,0)</f>
        <v>0</v>
      </c>
      <c r="L46" s="107">
        <f>ROUNDUP(' AZUL 2'!L50,0)</f>
        <v>0</v>
      </c>
      <c r="M46" s="107">
        <f>ROUNDUP(' AZUL 2'!M50,0)</f>
        <v>0</v>
      </c>
      <c r="N46" s="107">
        <v>0</v>
      </c>
      <c r="O46" s="18"/>
      <c r="P46" s="18"/>
      <c r="Q46" s="18"/>
    </row>
    <row r="47" spans="1:17" ht="15.75" customHeight="1">
      <c r="A47" s="22" t="s">
        <v>31</v>
      </c>
      <c r="B47" s="107">
        <v>0</v>
      </c>
      <c r="C47" s="107">
        <f>ROUNDUP(' AZUL 2'!C51,0)</f>
        <v>1</v>
      </c>
      <c r="D47" s="107">
        <f>ROUNDUP(' AZUL 2'!D51,0)</f>
        <v>0</v>
      </c>
      <c r="E47" s="107">
        <f>ROUNDUP(' AZUL 2'!E51,0)</f>
        <v>0</v>
      </c>
      <c r="F47" s="107">
        <f>ROUNDUP(' AZUL 2'!F51,0)</f>
        <v>1</v>
      </c>
      <c r="G47" s="107">
        <v>0</v>
      </c>
      <c r="H47" s="107">
        <f>ROUNDUP(' AZUL 2'!H51,0)</f>
        <v>0</v>
      </c>
      <c r="I47" s="107">
        <f>ROUNDUP(' AZUL 2'!I51,0)</f>
        <v>0</v>
      </c>
      <c r="J47" s="107">
        <f>ROUNDUP(' AZUL 2'!J51,0)</f>
        <v>0</v>
      </c>
      <c r="K47" s="107">
        <f>ROUNDUP(' AZUL 2'!K51,0)</f>
        <v>0</v>
      </c>
      <c r="L47" s="107">
        <f>ROUNDUP(' AZUL 2'!L51,0)</f>
        <v>0</v>
      </c>
      <c r="M47" s="107">
        <f>ROUNDUP(' AZUL 2'!M51,0)</f>
        <v>0</v>
      </c>
      <c r="N47" s="107">
        <v>0</v>
      </c>
      <c r="O47" s="18"/>
      <c r="P47" s="18"/>
      <c r="Q47" s="18"/>
    </row>
    <row r="48" spans="1:17" ht="15.75" customHeight="1">
      <c r="A48" s="22" t="s">
        <v>32</v>
      </c>
      <c r="B48" s="107">
        <v>0</v>
      </c>
      <c r="C48" s="107">
        <f>ROUNDUP(' AZUL 2'!C$52,0)</f>
        <v>15</v>
      </c>
      <c r="D48" s="107">
        <f>ROUNDUP(' AZUL 2'!D$52,0)</f>
        <v>0</v>
      </c>
      <c r="E48" s="107">
        <f>ROUNDUP(' AZUL 2'!E$52,0)</f>
        <v>0</v>
      </c>
      <c r="F48" s="107">
        <f>ROUNDUP(' AZUL 2'!F$52,0)</f>
        <v>2</v>
      </c>
      <c r="G48" s="107">
        <v>0</v>
      </c>
      <c r="H48" s="107">
        <f>ROUNDUP(' AZUL 2'!H$52,0)</f>
        <v>0</v>
      </c>
      <c r="I48" s="107">
        <f>ROUNDUP(' AZUL 2'!I$52,0)</f>
        <v>0</v>
      </c>
      <c r="J48" s="107">
        <f>ROUNDUP(' AZUL 2'!J$52,0)</f>
        <v>0</v>
      </c>
      <c r="K48" s="107">
        <f>ROUNDUP(' AZUL 2'!K$52,0)</f>
        <v>0</v>
      </c>
      <c r="L48" s="107">
        <f>ROUNDUP(' AZUL 2'!L$52,0)</f>
        <v>0</v>
      </c>
      <c r="M48" s="107">
        <f>ROUNDUP(' AZUL 2'!M$52,0)</f>
        <v>0</v>
      </c>
      <c r="N48" s="107">
        <v>0</v>
      </c>
      <c r="O48" s="18"/>
      <c r="P48" s="18"/>
      <c r="Q48" s="18"/>
    </row>
    <row r="49" spans="1:17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spans="1:17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spans="1:17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spans="1:17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</row>
    <row r="53" spans="1:17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</row>
    <row r="54" spans="1:17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</row>
    <row r="55" spans="1:17" ht="15.75" customHeight="1">
      <c r="A55" s="18"/>
      <c r="B55" s="151" t="s">
        <v>47</v>
      </c>
      <c r="C55" s="151" t="s">
        <v>48</v>
      </c>
      <c r="D55" s="151" t="s">
        <v>49</v>
      </c>
      <c r="E55" s="151" t="s">
        <v>50</v>
      </c>
      <c r="F55" s="151" t="s">
        <v>51</v>
      </c>
      <c r="G55" s="151" t="s">
        <v>52</v>
      </c>
      <c r="H55" s="151" t="s">
        <v>53</v>
      </c>
      <c r="I55" s="26" t="s">
        <v>54</v>
      </c>
      <c r="J55" s="26" t="s">
        <v>54</v>
      </c>
      <c r="K55" s="151" t="s">
        <v>55</v>
      </c>
      <c r="L55" s="151" t="s">
        <v>56</v>
      </c>
      <c r="M55" s="151" t="s">
        <v>56</v>
      </c>
      <c r="N55" s="159" t="s">
        <v>57</v>
      </c>
      <c r="O55" s="18"/>
      <c r="P55" s="18"/>
      <c r="Q55" s="18"/>
    </row>
    <row r="56" spans="1:17" ht="15.75" customHeight="1">
      <c r="A56" s="18"/>
      <c r="B56" s="63"/>
      <c r="C56" s="63"/>
      <c r="D56" s="63"/>
      <c r="E56" s="63"/>
      <c r="F56" s="26" t="s">
        <v>58</v>
      </c>
      <c r="G56" s="63"/>
      <c r="H56" s="63"/>
      <c r="I56" s="26" t="s">
        <v>6</v>
      </c>
      <c r="J56" s="26" t="s">
        <v>326</v>
      </c>
      <c r="K56" s="63"/>
      <c r="L56" s="26" t="s">
        <v>60</v>
      </c>
      <c r="M56" s="26" t="s">
        <v>61</v>
      </c>
      <c r="N56" s="26" t="s">
        <v>62</v>
      </c>
      <c r="O56" s="18"/>
      <c r="P56" s="18"/>
      <c r="Q56" s="18"/>
    </row>
    <row r="57" spans="1:17" ht="15.75" customHeight="1">
      <c r="A57" s="18"/>
      <c r="B57" s="19">
        <v>167</v>
      </c>
      <c r="C57" s="19">
        <v>148</v>
      </c>
      <c r="D57" s="19">
        <v>7</v>
      </c>
      <c r="E57" s="19">
        <v>178</v>
      </c>
      <c r="F57" s="19">
        <v>108</v>
      </c>
      <c r="G57" s="19">
        <v>35</v>
      </c>
      <c r="H57" s="19">
        <v>149</v>
      </c>
      <c r="I57" s="19">
        <v>99</v>
      </c>
      <c r="J57" s="19">
        <v>33</v>
      </c>
      <c r="K57" s="19">
        <v>150</v>
      </c>
      <c r="L57" s="19">
        <v>123</v>
      </c>
      <c r="M57" s="19">
        <v>78</v>
      </c>
      <c r="N57" s="19">
        <v>170</v>
      </c>
      <c r="O57" s="18"/>
      <c r="P57" s="18"/>
      <c r="Q57" s="18"/>
    </row>
    <row r="58" spans="1:17" ht="15.75" customHeight="1">
      <c r="A58" s="18"/>
      <c r="B58" s="19">
        <v>60</v>
      </c>
      <c r="C58" s="19">
        <v>100</v>
      </c>
      <c r="D58" s="19">
        <v>0</v>
      </c>
      <c r="E58" s="19">
        <v>89</v>
      </c>
      <c r="F58" s="19">
        <v>0</v>
      </c>
      <c r="G58" s="19">
        <v>0</v>
      </c>
      <c r="H58" s="19">
        <v>149</v>
      </c>
      <c r="I58" s="19">
        <v>0</v>
      </c>
      <c r="J58" s="19">
        <v>0</v>
      </c>
      <c r="K58" s="19">
        <v>95</v>
      </c>
      <c r="L58" s="19">
        <v>0</v>
      </c>
      <c r="M58" s="19">
        <v>0</v>
      </c>
      <c r="N58" s="19">
        <v>70</v>
      </c>
      <c r="O58" s="18"/>
      <c r="P58" s="18"/>
      <c r="Q58" s="18"/>
    </row>
    <row r="59" spans="1:17" ht="15.75" customHeight="1">
      <c r="A59" s="22" t="s">
        <v>20</v>
      </c>
      <c r="B59" s="107">
        <f>ROUNDUP(' AZUL 2'!B63,0)</f>
        <v>29</v>
      </c>
      <c r="C59" s="107">
        <f>ROUNDUP(' AZUL 2'!C63,0)</f>
        <v>31</v>
      </c>
      <c r="D59" s="107">
        <f>ROUNDUP(' AZUL 2'!D63,0)</f>
        <v>1</v>
      </c>
      <c r="E59" s="107">
        <f>ROUNDUP(' AZUL 2'!E63,0)</f>
        <v>33</v>
      </c>
      <c r="F59" s="107">
        <f>ROUNDUP(' AZUL 2'!F63,0)</f>
        <v>14</v>
      </c>
      <c r="G59" s="107">
        <f>ROUNDUP(' AZUL 2'!G63,0)</f>
        <v>5</v>
      </c>
      <c r="H59" s="107">
        <f>ROUNDUP(' AZUL 2'!H63,0)</f>
        <v>37</v>
      </c>
      <c r="I59" s="107">
        <f>ROUNDUP(' AZUL 2'!I63,0)</f>
        <v>13</v>
      </c>
      <c r="J59" s="107">
        <f>ROUNDUP(' AZUL 2'!J63,0)</f>
        <v>5</v>
      </c>
      <c r="K59" s="107">
        <v>0</v>
      </c>
      <c r="L59" s="107">
        <f>ROUNDUP(' AZUL 2'!L63,0)</f>
        <v>16</v>
      </c>
      <c r="M59" s="107">
        <f>ROUNDUP(' AZUL 2'!M63,0)</f>
        <v>10</v>
      </c>
      <c r="N59" s="107">
        <f>ROUNDUP(' AZUL 2'!N63,0)</f>
        <v>30</v>
      </c>
      <c r="O59" s="18"/>
      <c r="P59" s="18"/>
      <c r="Q59" s="18"/>
    </row>
    <row r="60" spans="1:17" ht="15.75" customHeight="1">
      <c r="A60" s="22" t="s">
        <v>21</v>
      </c>
      <c r="B60" s="107">
        <f>ROUNDUP(' AZUL 2'!B64,0)</f>
        <v>8</v>
      </c>
      <c r="C60" s="107">
        <f>ROUNDUP(' AZUL 2'!C64,0)</f>
        <v>12</v>
      </c>
      <c r="D60" s="107">
        <f>ROUNDUP(' AZUL 2'!D64,0)</f>
        <v>0</v>
      </c>
      <c r="E60" s="107">
        <f>ROUNDUP(' AZUL 2'!E64,0)</f>
        <v>11</v>
      </c>
      <c r="F60" s="107">
        <f>ROUNDUP(' AZUL 2'!F64,0)</f>
        <v>0</v>
      </c>
      <c r="G60" s="107">
        <f>ROUNDUP(' AZUL 2'!G64,0)</f>
        <v>0</v>
      </c>
      <c r="H60" s="107">
        <f>ROUNDUP(' AZUL 2'!H64,0)</f>
        <v>18</v>
      </c>
      <c r="I60" s="107">
        <f>ROUNDUP(' AZUL 2'!I64,0)</f>
        <v>0</v>
      </c>
      <c r="J60" s="107">
        <f>ROUNDUP(' AZUL 2'!J64,0)</f>
        <v>0</v>
      </c>
      <c r="K60" s="107">
        <f>ROUNDUP(' AZUL 2'!K64,0)</f>
        <v>12</v>
      </c>
      <c r="L60" s="107">
        <f>ROUNDUP(' AZUL 2'!L64,0)</f>
        <v>0</v>
      </c>
      <c r="M60" s="107">
        <f>ROUNDUP(' AZUL 2'!M64,0)</f>
        <v>0</v>
      </c>
      <c r="N60" s="107">
        <f>ROUNDUP(' AZUL 2'!N64,0)</f>
        <v>9</v>
      </c>
      <c r="O60" s="18"/>
      <c r="P60" s="18"/>
      <c r="Q60" s="18"/>
    </row>
    <row r="61" spans="1:17" ht="15.75" customHeight="1">
      <c r="A61" s="22" t="s">
        <v>22</v>
      </c>
      <c r="B61" s="107">
        <f>ROUNDUP(' AZUL 2'!B65,0)</f>
        <v>57</v>
      </c>
      <c r="C61" s="107">
        <f>ROUNDUP(' AZUL 2'!C65,0)</f>
        <v>61</v>
      </c>
      <c r="D61" s="107">
        <f>ROUNDUP(' AZUL 2'!D65,0)</f>
        <v>2</v>
      </c>
      <c r="E61" s="107">
        <f>ROUNDUP(' AZUL 2'!E65,0)</f>
        <v>66</v>
      </c>
      <c r="F61" s="107">
        <f>ROUNDUP(' AZUL 2'!F65,0)</f>
        <v>27</v>
      </c>
      <c r="G61" s="107">
        <f>ROUNDUP(' AZUL 2'!G65,0)</f>
        <v>9</v>
      </c>
      <c r="H61" s="107">
        <f>ROUNDUP(' AZUL 2'!H65,0)</f>
        <v>74</v>
      </c>
      <c r="I61" s="107">
        <f>ROUNDUP(' AZUL 2'!I65,0)</f>
        <v>25</v>
      </c>
      <c r="J61" s="107">
        <f>ROUNDUP(' AZUL 2'!J65,0)</f>
        <v>9</v>
      </c>
      <c r="K61" s="107">
        <f>ROUNDUP(' AZUL 2'!K65,0)</f>
        <v>61</v>
      </c>
      <c r="L61" s="107">
        <f>ROUNDUP(' AZUL 2'!L65,0)</f>
        <v>31</v>
      </c>
      <c r="M61" s="107">
        <f>ROUNDUP(' AZUL 2'!M65,0)</f>
        <v>20</v>
      </c>
      <c r="N61" s="107">
        <f>ROUNDUP(' AZUL 2'!N65,0)</f>
        <v>60</v>
      </c>
      <c r="O61" s="18"/>
      <c r="P61" s="18"/>
      <c r="Q61" s="18"/>
    </row>
    <row r="62" spans="1:17" ht="15.75" customHeight="1">
      <c r="A62" s="22" t="s">
        <v>23</v>
      </c>
      <c r="B62" s="107">
        <f>ROUNDUP(' AZUL 2'!B66,0)</f>
        <v>0</v>
      </c>
      <c r="C62" s="107">
        <f>ROUNDUP(' AZUL 2'!C66,0)</f>
        <v>0</v>
      </c>
      <c r="D62" s="107">
        <f>ROUNDUP(' AZUL 2'!D66,0)</f>
        <v>0</v>
      </c>
      <c r="E62" s="107">
        <f>ROUNDUP(' AZUL 2'!E66,0)</f>
        <v>0</v>
      </c>
      <c r="F62" s="107">
        <f>ROUNDUP(' AZUL 2'!F66,0)</f>
        <v>0</v>
      </c>
      <c r="G62" s="107">
        <f>ROUNDUP(' AZUL 2'!G66,0)</f>
        <v>0</v>
      </c>
      <c r="H62" s="107">
        <f>ROUNDUP(' AZUL 2'!H66,0)</f>
        <v>0</v>
      </c>
      <c r="I62" s="107">
        <f>ROUNDUP(' AZUL 2'!I66,0)</f>
        <v>0</v>
      </c>
      <c r="J62" s="107">
        <f>ROUNDUP(' AZUL 2'!J66,0)</f>
        <v>0</v>
      </c>
      <c r="K62" s="107">
        <f>ROUNDUP(' AZUL 2'!K66,0)</f>
        <v>0</v>
      </c>
      <c r="L62" s="107">
        <f>ROUNDUP(' AZUL 2'!L66,0)</f>
        <v>0</v>
      </c>
      <c r="M62" s="107">
        <f>ROUNDUP(' AZUL 2'!M66,0)</f>
        <v>0</v>
      </c>
      <c r="N62" s="107">
        <f>ROUNDUP(' AZUL 2'!N66,0)</f>
        <v>0</v>
      </c>
      <c r="O62" s="18"/>
      <c r="P62" s="18"/>
      <c r="Q62" s="18"/>
    </row>
    <row r="63" spans="1:17" ht="15.75" customHeight="1">
      <c r="A63" s="22" t="s">
        <v>24</v>
      </c>
      <c r="B63" s="107">
        <v>0</v>
      </c>
      <c r="C63" s="107">
        <f>ROUNDUP(' AZUL 2'!C67,0)</f>
        <v>14</v>
      </c>
      <c r="D63" s="107">
        <f>ROUNDUP(' AZUL 2'!D67,0)</f>
        <v>0</v>
      </c>
      <c r="E63" s="107">
        <f>ROUNDUP(' AZUL 2'!E67,0)</f>
        <v>13</v>
      </c>
      <c r="F63" s="107">
        <f>ROUNDUP(' AZUL 2'!F67,0)</f>
        <v>0</v>
      </c>
      <c r="G63" s="107">
        <f>ROUNDUP(' AZUL 2'!G67,0)</f>
        <v>0</v>
      </c>
      <c r="H63" s="107">
        <v>0</v>
      </c>
      <c r="I63" s="107">
        <f>ROUNDUP(' AZUL 2'!I67,0)</f>
        <v>0</v>
      </c>
      <c r="J63" s="107">
        <f>ROUNDUP(' AZUL 2'!J67,0)</f>
        <v>0</v>
      </c>
      <c r="K63" s="107">
        <f>ROUNDUP(' AZUL 2'!K67,0)</f>
        <v>14</v>
      </c>
      <c r="L63" s="107">
        <f>ROUNDUP(' AZUL 2'!L67,0)</f>
        <v>0</v>
      </c>
      <c r="M63" s="107">
        <f>ROUNDUP(' AZUL 2'!M67,0)</f>
        <v>0</v>
      </c>
      <c r="N63" s="107">
        <f>ROUNDUP(' AZUL 2'!N67,0)</f>
        <v>10</v>
      </c>
      <c r="O63" s="18"/>
      <c r="P63" s="18"/>
      <c r="Q63" s="18"/>
    </row>
    <row r="64" spans="1:17" ht="15.75" customHeight="1">
      <c r="A64" s="22" t="s">
        <v>25</v>
      </c>
      <c r="B64" s="107">
        <f>ROUNDUP(' AZUL 2'!B68,0)</f>
        <v>3</v>
      </c>
      <c r="C64" s="107">
        <v>0</v>
      </c>
      <c r="D64" s="107">
        <f>ROUNDUP(' AZUL 2'!D68,0)</f>
        <v>0</v>
      </c>
      <c r="E64" s="107">
        <f>ROUNDUP(' AZUL 2'!E68,0)</f>
        <v>5</v>
      </c>
      <c r="F64" s="107">
        <f>ROUNDUP(' AZUL 2'!F68,0)</f>
        <v>0</v>
      </c>
      <c r="G64" s="107">
        <f>ROUNDUP(' AZUL 2'!G68,0)</f>
        <v>0</v>
      </c>
      <c r="H64" s="107">
        <v>0</v>
      </c>
      <c r="I64" s="107">
        <f>ROUNDUP(' AZUL 2'!I68,0)</f>
        <v>0</v>
      </c>
      <c r="J64" s="107">
        <f>ROUNDUP(' AZUL 2'!J68,0)</f>
        <v>0</v>
      </c>
      <c r="K64" s="107">
        <f>ROUNDUP(' AZUL 2'!K68,0)</f>
        <v>5</v>
      </c>
      <c r="L64" s="107">
        <f>ROUNDUP(' AZUL 2'!L68,0)</f>
        <v>0</v>
      </c>
      <c r="M64" s="107">
        <f>ROUNDUP(' AZUL 2'!M68,0)</f>
        <v>0</v>
      </c>
      <c r="N64" s="107">
        <f>ROUNDUP(' AZUL 2'!N68,0)</f>
        <v>4</v>
      </c>
      <c r="O64" s="18"/>
      <c r="P64" s="18"/>
      <c r="Q64" s="18"/>
    </row>
    <row r="65" spans="1:17" ht="15.75" customHeight="1">
      <c r="A65" s="22" t="s">
        <v>26</v>
      </c>
      <c r="B65" s="107">
        <f>ROUNDUP(' AZUL 2'!B69,0)</f>
        <v>12</v>
      </c>
      <c r="C65" s="107">
        <f>ROUNDUP(' AZUL 2'!C69,0)</f>
        <v>20</v>
      </c>
      <c r="D65" s="107">
        <f>ROUNDUP(' AZUL 2'!D69,0)</f>
        <v>0</v>
      </c>
      <c r="E65" s="107">
        <f>ROUNDUP(' AZUL 2'!E69,0)</f>
        <v>18</v>
      </c>
      <c r="F65" s="107">
        <f>ROUNDUP(' AZUL 2'!F69,0)</f>
        <v>0</v>
      </c>
      <c r="G65" s="107">
        <f>ROUNDUP(' AZUL 2'!G69,0)</f>
        <v>0</v>
      </c>
      <c r="H65" s="107">
        <f>ROUNDUP(' AZUL 2'!H69,0)</f>
        <v>30</v>
      </c>
      <c r="I65" s="107">
        <f>ROUNDUP(' AZUL 2'!I69,0)</f>
        <v>0</v>
      </c>
      <c r="J65" s="107">
        <f>ROUNDUP(' AZUL 2'!J69,0)</f>
        <v>0</v>
      </c>
      <c r="K65" s="107">
        <f>ROUNDUP(' AZUL 2'!K69,0)</f>
        <v>19</v>
      </c>
      <c r="L65" s="107">
        <f>ROUNDUP(' AZUL 2'!L69,0)</f>
        <v>0</v>
      </c>
      <c r="M65" s="107">
        <f>ROUNDUP(' AZUL 2'!M69,0)</f>
        <v>0</v>
      </c>
      <c r="N65" s="107">
        <f>ROUNDUP(' AZUL 2'!N69,0)</f>
        <v>14</v>
      </c>
      <c r="O65" s="18"/>
      <c r="P65" s="18"/>
      <c r="Q65" s="18"/>
    </row>
    <row r="66" spans="1:17" ht="15.75" customHeight="1">
      <c r="A66" s="22" t="s">
        <v>27</v>
      </c>
      <c r="B66" s="107">
        <f>ROUNDUP(' AZUL 2'!B70,0)</f>
        <v>5</v>
      </c>
      <c r="C66" s="107">
        <v>0</v>
      </c>
      <c r="D66" s="107">
        <f>ROUNDUP(' AZUL 2'!D70,0)</f>
        <v>0</v>
      </c>
      <c r="E66" s="107">
        <f>ROUNDUP(' AZUL 2'!E70,0)</f>
        <v>7</v>
      </c>
      <c r="F66" s="107">
        <f>ROUNDUP(' AZUL 2'!F70,0)</f>
        <v>0</v>
      </c>
      <c r="G66" s="107">
        <f>ROUNDUP(' AZUL 2'!G70,0)</f>
        <v>0</v>
      </c>
      <c r="H66" s="107">
        <f>ROUNDUP(' AZUL 2'!H70,0)</f>
        <v>12</v>
      </c>
      <c r="I66" s="107">
        <f>ROUNDUP(' AZUL 2'!I70,0)</f>
        <v>0</v>
      </c>
      <c r="J66" s="107">
        <f>ROUNDUP(' AZUL 2'!J70,0)</f>
        <v>0</v>
      </c>
      <c r="K66" s="107">
        <v>0</v>
      </c>
      <c r="L66" s="107">
        <f>ROUNDUP(' AZUL 2'!L70,0)</f>
        <v>0</v>
      </c>
      <c r="M66" s="107">
        <f>ROUNDUP(' AZUL 2'!M70,0)</f>
        <v>0</v>
      </c>
      <c r="N66" s="107">
        <f>ROUNDUP(' AZUL 2'!N70,0)</f>
        <v>6</v>
      </c>
      <c r="O66" s="18"/>
      <c r="P66" s="18"/>
      <c r="Q66" s="18"/>
    </row>
    <row r="67" spans="1:17" ht="15.75" customHeight="1">
      <c r="A67" s="22" t="s">
        <v>28</v>
      </c>
      <c r="B67" s="107">
        <v>0</v>
      </c>
      <c r="C67" s="107">
        <f>ROUNDUP(' AZUL 2'!C71,0)</f>
        <v>5</v>
      </c>
      <c r="D67" s="107">
        <f>ROUNDUP(' AZUL 2'!D71,0)</f>
        <v>0</v>
      </c>
      <c r="E67" s="107">
        <f>ROUNDUP(' AZUL 2'!E71,0)</f>
        <v>5</v>
      </c>
      <c r="F67" s="107">
        <f>ROUNDUP(' AZUL 2'!F71,0)</f>
        <v>0</v>
      </c>
      <c r="G67" s="107">
        <f>ROUNDUP(' AZUL 2'!G71,0)</f>
        <v>0</v>
      </c>
      <c r="H67" s="107">
        <v>0</v>
      </c>
      <c r="I67" s="107">
        <f>ROUNDUP(' AZUL 2'!I71,0)</f>
        <v>0</v>
      </c>
      <c r="J67" s="107">
        <f>ROUNDUP(' AZUL 2'!J71,0)</f>
        <v>0</v>
      </c>
      <c r="K67" s="107">
        <f>ROUNDUP(' AZUL 2'!K71,0)</f>
        <v>5</v>
      </c>
      <c r="L67" s="107">
        <f>ROUNDUP(' AZUL 2'!L71,0)</f>
        <v>0</v>
      </c>
      <c r="M67" s="107">
        <f>ROUNDUP(' AZUL 2'!M71,0)</f>
        <v>0</v>
      </c>
      <c r="N67" s="107">
        <f>ROUNDUP(' AZUL 2'!N71,0)</f>
        <v>4</v>
      </c>
      <c r="O67" s="18"/>
      <c r="P67" s="18"/>
      <c r="Q67" s="18"/>
    </row>
    <row r="68" spans="1:17" ht="15.75" customHeight="1">
      <c r="A68" s="22" t="s">
        <v>29</v>
      </c>
      <c r="B68" s="107">
        <f>ROUNDUP(' AZUL 2'!B72,0)</f>
        <v>3</v>
      </c>
      <c r="C68" s="107">
        <v>0</v>
      </c>
      <c r="D68" s="107">
        <f>ROUNDUP(' AZUL 2'!D72,0)</f>
        <v>0</v>
      </c>
      <c r="E68" s="107">
        <f>ROUNDUP(' AZUL 2'!E72,0)</f>
        <v>4</v>
      </c>
      <c r="F68" s="107">
        <f>ROUNDUP(' AZUL 2'!F72,0)</f>
        <v>0</v>
      </c>
      <c r="G68" s="107">
        <f>ROUNDUP(' AZUL 2'!G72,0)</f>
        <v>0</v>
      </c>
      <c r="H68" s="107">
        <f>ROUNDUP(' AZUL 2'!H72,0)</f>
        <v>6</v>
      </c>
      <c r="I68" s="107">
        <f>ROUNDUP(' AZUL 2'!I72,0)</f>
        <v>0</v>
      </c>
      <c r="J68" s="107">
        <f>ROUNDUP(' AZUL 2'!J72,0)</f>
        <v>0</v>
      </c>
      <c r="K68" s="107">
        <f>ROUNDUP(' AZUL 2'!K72,0)</f>
        <v>4</v>
      </c>
      <c r="L68" s="107">
        <f>ROUNDUP(' AZUL 2'!L72,0)</f>
        <v>0</v>
      </c>
      <c r="M68" s="107">
        <f>ROUNDUP(' AZUL 2'!M72,0)</f>
        <v>0</v>
      </c>
      <c r="N68" s="107">
        <f>ROUNDUP(' AZUL 2'!N72,0)</f>
        <v>3</v>
      </c>
      <c r="O68" s="18"/>
      <c r="P68" s="18"/>
      <c r="Q68" s="18"/>
    </row>
    <row r="69" spans="1:17" ht="15.75" customHeight="1">
      <c r="A69" s="22" t="s">
        <v>30</v>
      </c>
      <c r="B69" s="107">
        <f>ROUNDUP(' AZUL 2'!B73,0)</f>
        <v>1</v>
      </c>
      <c r="C69" s="107">
        <f>ROUNDUP(' AZUL 2'!C73,0)</f>
        <v>1</v>
      </c>
      <c r="D69" s="107">
        <f>ROUNDUP(' AZUL 2'!D73,0)</f>
        <v>0</v>
      </c>
      <c r="E69" s="107">
        <f>ROUNDUP(' AZUL 2'!E73,0)</f>
        <v>1</v>
      </c>
      <c r="F69" s="107">
        <f>ROUNDUP(' AZUL 2'!F73,0)</f>
        <v>0</v>
      </c>
      <c r="G69" s="107">
        <f>ROUNDUP(' AZUL 2'!G73,0)</f>
        <v>0</v>
      </c>
      <c r="H69" s="107">
        <f>ROUNDUP(' AZUL 2'!H73,0)</f>
        <v>1</v>
      </c>
      <c r="I69" s="107">
        <f>ROUNDUP(' AZUL 2'!I73,0)</f>
        <v>0</v>
      </c>
      <c r="J69" s="107">
        <f>ROUNDUP(' AZUL 2'!J73,0)</f>
        <v>0</v>
      </c>
      <c r="K69" s="107">
        <f>ROUNDUP(' AZUL 2'!K73,0)</f>
        <v>1</v>
      </c>
      <c r="L69" s="107">
        <f>ROUNDUP(' AZUL 2'!L73,0)</f>
        <v>0</v>
      </c>
      <c r="M69" s="107">
        <f>ROUNDUP(' AZUL 2'!M73,0)</f>
        <v>0</v>
      </c>
      <c r="N69" s="107">
        <f>ROUNDUP(' AZUL 2'!N73,0)</f>
        <v>1</v>
      </c>
      <c r="O69" s="18"/>
      <c r="P69" s="18"/>
      <c r="Q69" s="18"/>
    </row>
    <row r="70" spans="1:17" ht="15.75" customHeight="1">
      <c r="A70" s="22" t="s">
        <v>31</v>
      </c>
      <c r="B70" s="107">
        <v>0</v>
      </c>
      <c r="C70" s="107">
        <f>ROUNDUP(' AZUL 2'!C74,0)</f>
        <v>1</v>
      </c>
      <c r="D70" s="107">
        <f>ROUNDUP(' AZUL 2'!D74,0)</f>
        <v>0</v>
      </c>
      <c r="E70" s="107">
        <f>ROUNDUP(' AZUL 2'!E74,0)</f>
        <v>1</v>
      </c>
      <c r="F70" s="107">
        <f>ROUNDUP(' AZUL 2'!F74,0)</f>
        <v>0</v>
      </c>
      <c r="G70" s="107">
        <f>ROUNDUP(' AZUL 2'!G74,0)</f>
        <v>0</v>
      </c>
      <c r="H70" s="107">
        <v>0</v>
      </c>
      <c r="I70" s="107">
        <f>ROUNDUP(' AZUL 2'!I74,0)</f>
        <v>0</v>
      </c>
      <c r="J70" s="107">
        <f>ROUNDUP(' AZUL 2'!J74,0)</f>
        <v>0</v>
      </c>
      <c r="K70" s="107">
        <f>ROUNDUP(' AZUL 2'!K74,0)</f>
        <v>1</v>
      </c>
      <c r="L70" s="107">
        <f>ROUNDUP(' AZUL 2'!L74,0)</f>
        <v>0</v>
      </c>
      <c r="M70" s="107">
        <f>ROUNDUP(' AZUL 2'!M74,0)</f>
        <v>0</v>
      </c>
      <c r="N70" s="107">
        <f>ROUNDUP(' AZUL 2'!N74,0)</f>
        <v>1</v>
      </c>
      <c r="O70" s="18"/>
      <c r="P70" s="18"/>
      <c r="Q70" s="18"/>
    </row>
    <row r="71" spans="1:17" ht="15.75" customHeight="1">
      <c r="A71" s="22" t="s">
        <v>32</v>
      </c>
      <c r="B71" s="107">
        <f>ROUNDUP(' AZUL 2'!B$75,0)</f>
        <v>8</v>
      </c>
      <c r="C71" s="107">
        <f>ROUNDUP(' AZUL 2'!C$75,0)</f>
        <v>13</v>
      </c>
      <c r="D71" s="107">
        <f>ROUNDUP(' AZUL 2'!D$75,0)</f>
        <v>0</v>
      </c>
      <c r="E71" s="107">
        <f>ROUNDUP(' AZUL 2'!E$75,0)</f>
        <v>12</v>
      </c>
      <c r="F71" s="107">
        <f>ROUNDUP(' AZUL 2'!F$75,0)</f>
        <v>0</v>
      </c>
      <c r="G71" s="107">
        <f>ROUNDUP(' AZUL 2'!G$75,0)</f>
        <v>0</v>
      </c>
      <c r="H71" s="107">
        <v>0</v>
      </c>
      <c r="I71" s="107">
        <f>ROUNDUP(' AZUL 2'!I$75,0)</f>
        <v>0</v>
      </c>
      <c r="J71" s="107">
        <f>ROUNDUP(' AZUL 2'!J$75,0)</f>
        <v>0</v>
      </c>
      <c r="K71" s="107">
        <f>ROUNDUP(' AZUL 2'!K$75,0)</f>
        <v>12</v>
      </c>
      <c r="L71" s="107">
        <f>ROUNDUP(' AZUL 2'!L$75,0)</f>
        <v>0</v>
      </c>
      <c r="M71" s="107">
        <f>ROUNDUP(' AZUL 2'!M$75,0)</f>
        <v>0</v>
      </c>
      <c r="N71" s="107">
        <f>ROUNDUP(' AZUL 2'!N$75,0)</f>
        <v>9</v>
      </c>
      <c r="O71" s="18"/>
      <c r="P71" s="18"/>
      <c r="Q71" s="18"/>
    </row>
    <row r="72" spans="1:17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</row>
    <row r="73" spans="1:17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</row>
    <row r="74" spans="1:17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</row>
    <row r="75" spans="1:17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</row>
    <row r="76" spans="1:17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</row>
    <row r="77" spans="1:1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</row>
    <row r="78" spans="1:17" ht="15.75" customHeight="1">
      <c r="A78" s="18"/>
      <c r="B78" s="151" t="s">
        <v>63</v>
      </c>
      <c r="C78" s="151" t="s">
        <v>64</v>
      </c>
      <c r="D78" s="26" t="s">
        <v>65</v>
      </c>
      <c r="E78" s="163" t="s">
        <v>66</v>
      </c>
      <c r="F78" s="161" t="s">
        <v>67</v>
      </c>
      <c r="G78" s="169" t="s">
        <v>68</v>
      </c>
      <c r="H78" s="151">
        <v>502</v>
      </c>
      <c r="I78" s="151">
        <v>503</v>
      </c>
      <c r="J78" s="151">
        <v>504</v>
      </c>
      <c r="K78" s="151">
        <v>505</v>
      </c>
      <c r="L78" s="153" t="s">
        <v>69</v>
      </c>
      <c r="M78" s="166" t="s">
        <v>70</v>
      </c>
      <c r="N78" s="166" t="s">
        <v>71</v>
      </c>
      <c r="O78" s="18"/>
      <c r="P78" s="18"/>
      <c r="Q78" s="18"/>
    </row>
    <row r="79" spans="1:17" ht="18" customHeight="1">
      <c r="A79" s="18"/>
      <c r="B79" s="36" t="s">
        <v>34</v>
      </c>
      <c r="C79" s="37"/>
      <c r="D79" s="37"/>
      <c r="E79" s="36" t="s">
        <v>72</v>
      </c>
      <c r="F79" s="38"/>
      <c r="G79" s="109"/>
      <c r="H79" s="37"/>
      <c r="I79" s="37"/>
      <c r="J79" s="37"/>
      <c r="K79" s="37"/>
      <c r="L79" s="37"/>
      <c r="M79" s="37"/>
      <c r="N79" s="37"/>
      <c r="O79" s="18"/>
      <c r="P79" s="18"/>
      <c r="Q79" s="18"/>
    </row>
    <row r="80" spans="1:17" ht="15.75" customHeight="1">
      <c r="A80" s="18"/>
      <c r="B80" s="19">
        <v>68</v>
      </c>
      <c r="C80" s="40">
        <v>566</v>
      </c>
      <c r="D80" s="19">
        <v>850</v>
      </c>
      <c r="E80" s="19">
        <v>121</v>
      </c>
      <c r="F80" s="19">
        <v>100</v>
      </c>
      <c r="G80" s="19">
        <v>108</v>
      </c>
      <c r="H80" s="19">
        <v>124</v>
      </c>
      <c r="I80" s="19">
        <v>46</v>
      </c>
      <c r="J80" s="19">
        <v>50</v>
      </c>
      <c r="K80" s="19">
        <v>104</v>
      </c>
      <c r="L80" s="19">
        <v>60</v>
      </c>
      <c r="M80" s="19">
        <v>42</v>
      </c>
      <c r="N80" s="19">
        <v>103</v>
      </c>
      <c r="O80" s="18"/>
      <c r="P80" s="18"/>
      <c r="Q80" s="18"/>
    </row>
    <row r="81" spans="1:17" ht="15.75" customHeight="1">
      <c r="A81" s="18"/>
      <c r="B81" s="19">
        <v>68</v>
      </c>
      <c r="C81" s="41">
        <v>160</v>
      </c>
      <c r="D81" s="19">
        <v>0</v>
      </c>
      <c r="E81" s="19">
        <v>0</v>
      </c>
      <c r="F81" s="19">
        <v>100</v>
      </c>
      <c r="G81" s="19">
        <v>54</v>
      </c>
      <c r="H81" s="19">
        <v>62</v>
      </c>
      <c r="I81" s="19">
        <v>23</v>
      </c>
      <c r="J81" s="19">
        <v>25</v>
      </c>
      <c r="K81" s="19">
        <v>52</v>
      </c>
      <c r="L81" s="19">
        <v>30</v>
      </c>
      <c r="M81" s="19">
        <v>19</v>
      </c>
      <c r="N81" s="19">
        <v>103</v>
      </c>
      <c r="O81" s="18"/>
      <c r="P81" s="18"/>
      <c r="Q81" s="18"/>
    </row>
    <row r="82" spans="1:17" ht="15.75" customHeight="1">
      <c r="A82" s="22" t="s">
        <v>20</v>
      </c>
      <c r="B82" s="107">
        <f>ROUNDUP(' AZUL 2'!B86,0)</f>
        <v>17</v>
      </c>
      <c r="C82" s="107">
        <f>ROUNDUP(' AZUL 2'!C86,0)</f>
        <v>90</v>
      </c>
      <c r="D82" s="107">
        <v>170</v>
      </c>
      <c r="E82" s="107">
        <f>ROUNDUP(' AZUL 2'!E86,0)</f>
        <v>16</v>
      </c>
      <c r="F82" s="107">
        <f>ROUNDUP(' AZUL 2'!F86,0)</f>
        <v>25</v>
      </c>
      <c r="G82" s="107">
        <f>ROUNDUP(' AZUL 2'!G86,0)</f>
        <v>20</v>
      </c>
      <c r="H82" s="107">
        <f>ROUNDUP(' AZUL 2'!H86,0)</f>
        <v>23</v>
      </c>
      <c r="I82" s="107">
        <f>ROUNDUP(' AZUL 2'!I86,0)</f>
        <v>9</v>
      </c>
      <c r="J82" s="107">
        <f>ROUNDUP(' AZUL 2'!J86,0)</f>
        <v>10</v>
      </c>
      <c r="K82" s="107">
        <v>0</v>
      </c>
      <c r="L82" s="107">
        <f>ROUNDUP(' AZUL 2'!L86,0)</f>
        <v>12</v>
      </c>
      <c r="M82" s="107">
        <v>0</v>
      </c>
      <c r="N82" s="107">
        <f>ROUNDUP(' AZUL 2'!N86,0)</f>
        <v>26</v>
      </c>
      <c r="O82" s="18"/>
      <c r="P82" s="18"/>
      <c r="Q82" s="18"/>
    </row>
    <row r="83" spans="1:17" ht="15.75" customHeight="1">
      <c r="A83" s="22" t="s">
        <v>21</v>
      </c>
      <c r="B83" s="107">
        <f>ROUNDUP(' AZUL 2'!B87,0)</f>
        <v>9</v>
      </c>
      <c r="C83" s="107">
        <f>ROUNDUP(' AZUL 2'!C87,0)</f>
        <v>20</v>
      </c>
      <c r="D83" s="107">
        <v>80</v>
      </c>
      <c r="E83" s="107">
        <f>ROUNDUP(' AZUL 2'!E87,0)</f>
        <v>0</v>
      </c>
      <c r="F83" s="107">
        <f>ROUNDUP(' AZUL 2'!F87,0)</f>
        <v>12</v>
      </c>
      <c r="G83" s="107">
        <f>ROUNDUP(' AZUL 2'!G87,0)</f>
        <v>7</v>
      </c>
      <c r="H83" s="107">
        <f>ROUNDUP(' AZUL 2'!H87,0)</f>
        <v>8</v>
      </c>
      <c r="I83" s="107">
        <f>ROUNDUP(' AZUL 2'!I87,0)</f>
        <v>3</v>
      </c>
      <c r="J83" s="107">
        <f>ROUNDUP(' AZUL 2'!J87,0)</f>
        <v>3</v>
      </c>
      <c r="K83" s="107">
        <f>ROUNDUP(' AZUL 2'!K87,0)</f>
        <v>7</v>
      </c>
      <c r="L83" s="107">
        <f>ROUNDUP(' AZUL 2'!L87,0)</f>
        <v>4</v>
      </c>
      <c r="M83" s="107">
        <v>0</v>
      </c>
      <c r="N83" s="107">
        <f>ROUNDUP(' AZUL 2'!N87,0)</f>
        <v>13</v>
      </c>
      <c r="O83" s="18"/>
      <c r="P83" s="18"/>
      <c r="Q83" s="18"/>
    </row>
    <row r="84" spans="1:17" ht="15.75" customHeight="1">
      <c r="A84" s="22" t="s">
        <v>22</v>
      </c>
      <c r="B84" s="107">
        <f>ROUNDUP(' AZUL 2'!B88,0)</f>
        <v>34</v>
      </c>
      <c r="C84" s="107">
        <v>0</v>
      </c>
      <c r="D84" s="107"/>
      <c r="E84" s="107">
        <f>ROUNDUP(' AZUL 2'!E88,0)</f>
        <v>31</v>
      </c>
      <c r="F84" s="107">
        <f>ROUNDUP(' AZUL 2'!F88,0)</f>
        <v>49</v>
      </c>
      <c r="G84" s="107">
        <f>ROUNDUP(' AZUL 2'!G88,0)</f>
        <v>40</v>
      </c>
      <c r="H84" s="107">
        <f>ROUNDUP(' AZUL 2'!H88,0)</f>
        <v>46</v>
      </c>
      <c r="I84" s="107">
        <f>ROUNDUP(' AZUL 2'!I88,0)</f>
        <v>18</v>
      </c>
      <c r="J84" s="107">
        <f>ROUNDUP(' AZUL 2'!J88,0)</f>
        <v>19</v>
      </c>
      <c r="K84" s="107">
        <v>0</v>
      </c>
      <c r="L84" s="107">
        <v>0</v>
      </c>
      <c r="M84" s="107">
        <v>0</v>
      </c>
      <c r="N84" s="107">
        <f>ROUNDUP(' AZUL 2'!N88,0)</f>
        <v>51</v>
      </c>
      <c r="O84" s="18"/>
      <c r="P84" s="18"/>
      <c r="Q84" s="18"/>
    </row>
    <row r="85" spans="1:17" ht="15.75" customHeight="1">
      <c r="A85" s="22" t="s">
        <v>23</v>
      </c>
      <c r="B85" s="107">
        <f>ROUNDUP(' AZUL 2'!B89,0)</f>
        <v>0</v>
      </c>
      <c r="C85" s="107">
        <f>ROUNDUP(' AZUL 2'!C89,0)</f>
        <v>0</v>
      </c>
      <c r="D85" s="107">
        <f>ROUNDUP(' AZUL 2'!D89,0)</f>
        <v>0</v>
      </c>
      <c r="E85" s="107">
        <f>ROUNDUP(' AZUL 2'!E89,0)</f>
        <v>0</v>
      </c>
      <c r="F85" s="107">
        <f>ROUNDUP(' AZUL 2'!F89,0)</f>
        <v>0</v>
      </c>
      <c r="G85" s="107">
        <f>ROUNDUP(' AZUL 2'!G89,0)</f>
        <v>0</v>
      </c>
      <c r="H85" s="107">
        <f>ROUNDUP(' AZUL 2'!H89,0)</f>
        <v>0</v>
      </c>
      <c r="I85" s="107">
        <f>ROUNDUP(' AZUL 2'!I89,0)</f>
        <v>0</v>
      </c>
      <c r="J85" s="107">
        <f>ROUNDUP(' AZUL 2'!J89,0)</f>
        <v>0</v>
      </c>
      <c r="K85" s="107">
        <f>ROUNDUP(' AZUL 2'!K89,0)</f>
        <v>0</v>
      </c>
      <c r="L85" s="107">
        <f>ROUNDUP(' AZUL 2'!L89,0)</f>
        <v>0</v>
      </c>
      <c r="M85" s="107">
        <f>ROUNDUP(' AZUL 2'!M89,0)</f>
        <v>0</v>
      </c>
      <c r="N85" s="107">
        <f>ROUNDUP(' AZUL 2'!N89,0)</f>
        <v>0</v>
      </c>
      <c r="O85" s="18"/>
      <c r="P85" s="18"/>
      <c r="Q85" s="18"/>
    </row>
    <row r="86" spans="1:17" ht="15.75" customHeight="1">
      <c r="A86" s="22" t="s">
        <v>24</v>
      </c>
      <c r="B86" s="107">
        <f>ROUNDUP(' AZUL 2'!B90,0)</f>
        <v>10</v>
      </c>
      <c r="C86" s="107">
        <f>ROUNDUP(' AZUL 2'!C90,0)</f>
        <v>23</v>
      </c>
      <c r="D86" s="107">
        <f>ROUNDUP(' AZUL 2'!D90,0)</f>
        <v>0</v>
      </c>
      <c r="E86" s="107">
        <f>ROUNDUP(' AZUL 2'!E90,0)</f>
        <v>0</v>
      </c>
      <c r="F86" s="107">
        <f>ROUNDUP(' AZUL 2'!F90,0)</f>
        <v>14</v>
      </c>
      <c r="G86" s="107">
        <f>ROUNDUP(' AZUL 2'!G90,0)</f>
        <v>8</v>
      </c>
      <c r="H86" s="107">
        <f>ROUNDUP(' AZUL 2'!H90,0)</f>
        <v>9</v>
      </c>
      <c r="I86" s="107">
        <f>ROUNDUP(' AZUL 2'!I90,0)</f>
        <v>4</v>
      </c>
      <c r="J86" s="107">
        <f>ROUNDUP(' AZUL 2'!J90,0)</f>
        <v>4</v>
      </c>
      <c r="K86" s="107">
        <v>0</v>
      </c>
      <c r="L86" s="107">
        <f>ROUNDUP(' AZUL 2'!L90,0)</f>
        <v>5</v>
      </c>
      <c r="M86" s="107">
        <f>ROUNDUP(' AZUL 2'!M90,0)</f>
        <v>3</v>
      </c>
      <c r="N86" s="107">
        <f>ROUNDUP(' AZUL 2'!N90,0)</f>
        <v>15</v>
      </c>
      <c r="O86" s="18"/>
      <c r="P86" s="18"/>
      <c r="Q86" s="18"/>
    </row>
    <row r="87" spans="1:17" ht="15.75" customHeight="1">
      <c r="A87" s="22" t="s">
        <v>25</v>
      </c>
      <c r="B87" s="107">
        <v>0</v>
      </c>
      <c r="C87" s="107">
        <v>0</v>
      </c>
      <c r="D87" s="107">
        <f>ROUNDUP(' AZUL 2'!D91,0)</f>
        <v>0</v>
      </c>
      <c r="E87" s="107">
        <f>ROUNDUP(' AZUL 2'!E91,0)</f>
        <v>0</v>
      </c>
      <c r="F87" s="107">
        <f>ROUNDUP(' AZUL 2'!F91,0)</f>
        <v>5</v>
      </c>
      <c r="G87" s="107">
        <f>ROUNDUP(' AZUL 2'!G91,0)</f>
        <v>3</v>
      </c>
      <c r="H87" s="107">
        <f>ROUNDUP(' AZUL 2'!H91,0)</f>
        <v>4</v>
      </c>
      <c r="I87" s="107">
        <f>ROUNDUP(' AZUL 2'!I91,0)</f>
        <v>2</v>
      </c>
      <c r="J87" s="107">
        <f>ROUNDUP(' AZUL 2'!J91,0)</f>
        <v>2</v>
      </c>
      <c r="K87" s="107">
        <v>0</v>
      </c>
      <c r="L87" s="107">
        <f>ROUNDUP(' AZUL 2'!L91,0)</f>
        <v>2</v>
      </c>
      <c r="M87" s="107">
        <f>ROUNDUP(' AZUL 2'!M91,0)</f>
        <v>1</v>
      </c>
      <c r="N87" s="107">
        <f>ROUNDUP(' AZUL 2'!N91,0)</f>
        <v>6</v>
      </c>
      <c r="O87" s="18"/>
      <c r="P87" s="18"/>
      <c r="Q87" s="18"/>
    </row>
    <row r="88" spans="1:17" ht="15.75" customHeight="1">
      <c r="A88" s="22" t="s">
        <v>26</v>
      </c>
      <c r="B88" s="107">
        <f>ROUNDUP(' AZUL 2'!B92,0)</f>
        <v>14</v>
      </c>
      <c r="C88" s="107">
        <f>ROUNDUP(' AZUL 2'!C92,0)</f>
        <v>32</v>
      </c>
      <c r="D88" s="107">
        <f>ROUNDUP(' AZUL 2'!D92,0)</f>
        <v>0</v>
      </c>
      <c r="E88" s="107">
        <f>ROUNDUP(' AZUL 2'!E92,0)</f>
        <v>0</v>
      </c>
      <c r="F88" s="107">
        <f>ROUNDUP(' AZUL 2'!F92,0)</f>
        <v>20</v>
      </c>
      <c r="G88" s="107">
        <f>ROUNDUP(' AZUL 2'!G92,0)</f>
        <v>11</v>
      </c>
      <c r="H88" s="107">
        <f>ROUNDUP(' AZUL 2'!H92,0)</f>
        <v>13</v>
      </c>
      <c r="I88" s="107">
        <f>ROUNDUP(' AZUL 2'!I92,0)</f>
        <v>5</v>
      </c>
      <c r="J88" s="107">
        <f>ROUNDUP(' AZUL 2'!J92,0)</f>
        <v>5</v>
      </c>
      <c r="K88" s="107">
        <v>0</v>
      </c>
      <c r="L88" s="107">
        <f>ROUNDUP(' AZUL 2'!L92,0)</f>
        <v>6</v>
      </c>
      <c r="M88" s="107">
        <f>ROUNDUP(' AZUL 2'!M92,0)</f>
        <v>4</v>
      </c>
      <c r="N88" s="107">
        <f>ROUNDUP(' AZUL 2'!N92,0)</f>
        <v>21</v>
      </c>
      <c r="O88" s="18"/>
      <c r="P88" s="18"/>
      <c r="Q88" s="18"/>
    </row>
    <row r="89" spans="1:17" ht="15.75" customHeight="1">
      <c r="A89" s="22" t="s">
        <v>27</v>
      </c>
      <c r="B89" s="107">
        <v>0</v>
      </c>
      <c r="C89" s="107">
        <v>0</v>
      </c>
      <c r="D89" s="107">
        <f>ROUNDUP(' AZUL 2'!D93,0)</f>
        <v>0</v>
      </c>
      <c r="E89" s="107">
        <f>ROUNDUP(' AZUL 2'!E93,0)</f>
        <v>0</v>
      </c>
      <c r="F89" s="107">
        <f>ROUNDUP(' AZUL 2'!F93,0)</f>
        <v>8</v>
      </c>
      <c r="G89" s="107">
        <f>ROUNDUP(' AZUL 2'!G93,0)</f>
        <v>5</v>
      </c>
      <c r="H89" s="107">
        <f>ROUNDUP(' AZUL 2'!H93,0)</f>
        <v>5</v>
      </c>
      <c r="I89" s="107">
        <f>ROUNDUP(' AZUL 2'!I93,0)</f>
        <v>2</v>
      </c>
      <c r="J89" s="107">
        <f>ROUNDUP(' AZUL 2'!J93,0)</f>
        <v>2</v>
      </c>
      <c r="K89" s="107">
        <v>0</v>
      </c>
      <c r="L89" s="107">
        <v>0</v>
      </c>
      <c r="M89" s="107">
        <f>ROUNDUP(' AZUL 2'!M93,0)</f>
        <v>2</v>
      </c>
      <c r="N89" s="107">
        <f>ROUNDUP(' AZUL 2'!N93,0)</f>
        <v>8</v>
      </c>
      <c r="O89" s="18"/>
      <c r="P89" s="18"/>
      <c r="Q89" s="18"/>
    </row>
    <row r="90" spans="1:17" ht="15.75" customHeight="1">
      <c r="A90" s="22" t="s">
        <v>28</v>
      </c>
      <c r="B90" s="107">
        <v>0</v>
      </c>
      <c r="C90" s="107">
        <v>0</v>
      </c>
      <c r="D90" s="107">
        <f>ROUNDUP(' AZUL 2'!D94,0)</f>
        <v>0</v>
      </c>
      <c r="E90" s="107">
        <f>ROUNDUP(' AZUL 2'!E94,0)</f>
        <v>0</v>
      </c>
      <c r="F90" s="107">
        <f>ROUNDUP(' AZUL 2'!F94,0)</f>
        <v>5</v>
      </c>
      <c r="G90" s="107">
        <f>ROUNDUP(' AZUL 2'!G94,0)</f>
        <v>3</v>
      </c>
      <c r="H90" s="107">
        <f>ROUNDUP(' AZUL 2'!H94,0)</f>
        <v>4</v>
      </c>
      <c r="I90" s="107">
        <f>ROUNDUP(' AZUL 2'!I94,0)</f>
        <v>2</v>
      </c>
      <c r="J90" s="107">
        <f>ROUNDUP(' AZUL 2'!J94,0)</f>
        <v>2</v>
      </c>
      <c r="K90" s="107">
        <f>ROUNDUP(' AZUL 2'!K94,0)</f>
        <v>3</v>
      </c>
      <c r="L90" s="107">
        <f>ROUNDUP(' AZUL 2'!L94,0)</f>
        <v>2</v>
      </c>
      <c r="M90" s="107">
        <v>0</v>
      </c>
      <c r="N90" s="107">
        <f>ROUNDUP(' AZUL 2'!N94,0)</f>
        <v>6</v>
      </c>
      <c r="O90" s="18"/>
      <c r="P90" s="18"/>
      <c r="Q90" s="18"/>
    </row>
    <row r="91" spans="1:17" ht="15.75" customHeight="1">
      <c r="A91" s="22" t="s">
        <v>29</v>
      </c>
      <c r="B91" s="107">
        <v>0</v>
      </c>
      <c r="C91" s="107">
        <v>0</v>
      </c>
      <c r="D91" s="107">
        <f>ROUNDUP(' AZUL 2'!D95,0)</f>
        <v>0</v>
      </c>
      <c r="E91" s="107">
        <f>ROUNDUP(' AZUL 2'!E95,0)</f>
        <v>0</v>
      </c>
      <c r="F91" s="107">
        <f>ROUNDUP(' AZUL 2'!F95,0)</f>
        <v>4</v>
      </c>
      <c r="G91" s="107">
        <f>ROUNDUP(' AZUL 2'!G95,0)</f>
        <v>2</v>
      </c>
      <c r="H91" s="107">
        <f>ROUNDUP(' AZUL 2'!H95,0)</f>
        <v>3</v>
      </c>
      <c r="I91" s="107">
        <f>ROUNDUP(' AZUL 2'!I95,0)</f>
        <v>1</v>
      </c>
      <c r="J91" s="107">
        <f>ROUNDUP(' AZUL 2'!J95,0)</f>
        <v>1</v>
      </c>
      <c r="K91" s="107">
        <f>ROUNDUP(' AZUL 2'!K95,0)</f>
        <v>2</v>
      </c>
      <c r="L91" s="107">
        <f>ROUNDUP(' AZUL 2'!L95,0)</f>
        <v>2</v>
      </c>
      <c r="M91" s="107">
        <f>ROUNDUP(' AZUL 2'!M95,0)</f>
        <v>1</v>
      </c>
      <c r="N91" s="107">
        <f>ROUNDUP(' AZUL 2'!N95,0)</f>
        <v>4</v>
      </c>
      <c r="O91" s="18"/>
      <c r="P91" s="18"/>
      <c r="Q91" s="18"/>
    </row>
    <row r="92" spans="1:17" ht="15.75" customHeight="1">
      <c r="A92" s="22" t="s">
        <v>30</v>
      </c>
      <c r="B92" s="107">
        <v>0</v>
      </c>
      <c r="C92" s="107">
        <f>ROUNDUP(' AZUL 2'!C96,0)</f>
        <v>1</v>
      </c>
      <c r="D92" s="107">
        <f>ROUNDUP(' AZUL 2'!D96,0)</f>
        <v>0</v>
      </c>
      <c r="E92" s="107">
        <f>ROUNDUP(' AZUL 2'!E96,0)</f>
        <v>0</v>
      </c>
      <c r="F92" s="107">
        <f>ROUNDUP(' AZUL 2'!F96,0)</f>
        <v>1</v>
      </c>
      <c r="G92" s="107">
        <f>ROUNDUP(' AZUL 2'!G96,0)</f>
        <v>1</v>
      </c>
      <c r="H92" s="107">
        <f>ROUNDUP(' AZUL 2'!H96,0)</f>
        <v>1</v>
      </c>
      <c r="I92" s="107">
        <f>ROUNDUP(' AZUL 2'!I96,0)</f>
        <v>1</v>
      </c>
      <c r="J92" s="107">
        <f>ROUNDUP(' AZUL 2'!J96,0)</f>
        <v>1</v>
      </c>
      <c r="K92" s="107">
        <f>ROUNDUP(' AZUL 2'!K96,0)</f>
        <v>1</v>
      </c>
      <c r="L92" s="107">
        <v>0</v>
      </c>
      <c r="M92" s="107">
        <v>0</v>
      </c>
      <c r="N92" s="107">
        <f>ROUNDUP(' AZUL 2'!N96,0)</f>
        <v>1</v>
      </c>
      <c r="O92" s="18"/>
      <c r="P92" s="18"/>
      <c r="Q92" s="18"/>
    </row>
    <row r="93" spans="1:17" ht="15.75" customHeight="1">
      <c r="A93" s="22" t="s">
        <v>31</v>
      </c>
      <c r="B93" s="107">
        <v>0</v>
      </c>
      <c r="C93" s="107">
        <f>ROUNDUP(' AZUL 2'!C97,0)</f>
        <v>1</v>
      </c>
      <c r="D93" s="107">
        <f>ROUNDUP(' AZUL 2'!D97,0)</f>
        <v>0</v>
      </c>
      <c r="E93" s="107">
        <f>ROUNDUP(' AZUL 2'!E97,0)</f>
        <v>0</v>
      </c>
      <c r="F93" s="107">
        <f>ROUNDUP(' AZUL 2'!F97,0)</f>
        <v>1</v>
      </c>
      <c r="G93" s="107">
        <f>ROUNDUP(' AZUL 2'!G97,0)</f>
        <v>1</v>
      </c>
      <c r="H93" s="107">
        <f>ROUNDUP(' AZUL 2'!H97,0)</f>
        <v>1</v>
      </c>
      <c r="I93" s="107">
        <f>ROUNDUP(' AZUL 2'!I97,0)</f>
        <v>1</v>
      </c>
      <c r="J93" s="107">
        <v>0</v>
      </c>
      <c r="K93" s="107">
        <f>ROUNDUP(' AZUL 2'!K97,0)</f>
        <v>1</v>
      </c>
      <c r="L93" s="107">
        <v>0</v>
      </c>
      <c r="M93" s="107">
        <v>0</v>
      </c>
      <c r="N93" s="107">
        <f>ROUNDUP(' AZUL 2'!N97,0)</f>
        <v>1</v>
      </c>
      <c r="O93" s="18"/>
      <c r="P93" s="18"/>
      <c r="Q93" s="18"/>
    </row>
    <row r="94" spans="1:17" ht="15.75" customHeight="1">
      <c r="A94" s="22" t="s">
        <v>32</v>
      </c>
      <c r="B94" s="107">
        <f>ROUNDUP(' AZUL 2'!B$98,0)</f>
        <v>9</v>
      </c>
      <c r="C94" s="107">
        <f>ROUNDUP(' AZUL 2'!C$98,0)</f>
        <v>20</v>
      </c>
      <c r="D94" s="107">
        <f>ROUNDUP(' AZUL 2'!D$98,0)</f>
        <v>0</v>
      </c>
      <c r="E94" s="107">
        <f>ROUNDUP(' AZUL 2'!E$98,0)</f>
        <v>0</v>
      </c>
      <c r="F94" s="107">
        <f>ROUNDUP(' AZUL 2'!F$98,0)</f>
        <v>13</v>
      </c>
      <c r="G94" s="107">
        <f>ROUNDUP(' AZUL 2'!G$98,0)</f>
        <v>7</v>
      </c>
      <c r="H94" s="107">
        <f>ROUNDUP(' AZUL 2'!H$98,0)</f>
        <v>8</v>
      </c>
      <c r="I94" s="107">
        <f>ROUNDUP(' AZUL 2'!I$98,0)</f>
        <v>3</v>
      </c>
      <c r="J94" s="107">
        <f>ROUNDUP(' AZUL 2'!J$98,0)</f>
        <v>4</v>
      </c>
      <c r="K94" s="107">
        <f>ROUNDUP(' AZUL 2'!K$98,0)</f>
        <v>7</v>
      </c>
      <c r="L94" s="107">
        <f>ROUNDUP(' AZUL 2'!L$98,0)</f>
        <v>4</v>
      </c>
      <c r="M94" s="107">
        <v>0</v>
      </c>
      <c r="N94" s="107">
        <f>ROUNDUP(' AZUL 2'!N$98,0)</f>
        <v>13</v>
      </c>
      <c r="O94" s="18"/>
      <c r="P94" s="18"/>
      <c r="Q94" s="18"/>
    </row>
    <row r="95" spans="1:17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</row>
    <row r="96" spans="1:17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</row>
    <row r="97" spans="1:1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</row>
    <row r="98" spans="1:17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</row>
    <row r="99" spans="1:17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</row>
    <row r="100" spans="1:17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</row>
    <row r="101" spans="1:17" ht="15.75" customHeight="1">
      <c r="A101" s="18"/>
      <c r="B101" s="151" t="s">
        <v>73</v>
      </c>
      <c r="C101" s="151" t="s">
        <v>74</v>
      </c>
      <c r="D101" s="151" t="s">
        <v>75</v>
      </c>
      <c r="E101" s="151" t="s">
        <v>76</v>
      </c>
      <c r="F101" s="151" t="s">
        <v>77</v>
      </c>
      <c r="G101" s="151" t="s">
        <v>78</v>
      </c>
      <c r="H101" s="151" t="s">
        <v>79</v>
      </c>
      <c r="I101" s="151" t="s">
        <v>80</v>
      </c>
      <c r="J101" s="151" t="s">
        <v>81</v>
      </c>
      <c r="K101" s="151" t="s">
        <v>82</v>
      </c>
      <c r="L101" s="151" t="s">
        <v>83</v>
      </c>
      <c r="M101" s="151" t="s">
        <v>84</v>
      </c>
      <c r="N101" s="159" t="s">
        <v>85</v>
      </c>
      <c r="O101" s="151" t="s">
        <v>86</v>
      </c>
      <c r="P101" s="151" t="s">
        <v>87</v>
      </c>
      <c r="Q101" s="151" t="s">
        <v>88</v>
      </c>
    </row>
    <row r="102" spans="1:17" ht="15.75" customHeight="1">
      <c r="A102" s="18"/>
      <c r="B102" s="19">
        <v>160</v>
      </c>
      <c r="C102" s="19">
        <v>80</v>
      </c>
      <c r="D102" s="19">
        <v>156</v>
      </c>
      <c r="E102" s="19">
        <v>97</v>
      </c>
      <c r="F102" s="19">
        <v>2</v>
      </c>
      <c r="G102" s="19">
        <v>78</v>
      </c>
      <c r="H102" s="19">
        <v>69</v>
      </c>
      <c r="I102" s="19">
        <v>61</v>
      </c>
      <c r="J102" s="19">
        <v>131</v>
      </c>
      <c r="K102" s="19">
        <v>75</v>
      </c>
      <c r="L102" s="19">
        <v>66</v>
      </c>
      <c r="M102" s="19">
        <v>80</v>
      </c>
      <c r="N102" s="19">
        <v>71</v>
      </c>
      <c r="O102" s="19">
        <v>69</v>
      </c>
      <c r="P102" s="19">
        <v>42</v>
      </c>
      <c r="Q102" s="45">
        <v>70</v>
      </c>
    </row>
    <row r="103" spans="1:17" ht="15.75" customHeight="1">
      <c r="A103" s="18"/>
      <c r="B103" s="19">
        <v>0</v>
      </c>
      <c r="C103" s="19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40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47">
        <v>0</v>
      </c>
    </row>
    <row r="104" spans="1:17" ht="15.75" customHeight="1">
      <c r="A104" s="22" t="s">
        <v>20</v>
      </c>
      <c r="B104" s="107">
        <f>ROUNDUP(' AZUL 2'!B108,0)</f>
        <v>20</v>
      </c>
      <c r="C104" s="107">
        <v>0</v>
      </c>
      <c r="D104" s="107">
        <v>0</v>
      </c>
      <c r="E104" s="107">
        <f>ROUNDUP(' AZUL 2'!E108,0)</f>
        <v>13</v>
      </c>
      <c r="F104" s="107">
        <f>ROUNDUP(' AZUL 2'!F108,0)</f>
        <v>1</v>
      </c>
      <c r="G104" s="107">
        <f>ROUNDUP(' AZUL 2'!G108,0)</f>
        <v>10</v>
      </c>
      <c r="H104" s="107">
        <f>ROUNDUP(' AZUL 2'!H108,0)</f>
        <v>9</v>
      </c>
      <c r="I104" s="107">
        <f>ROUNDUP(' AZUL 2'!I108,0)</f>
        <v>8</v>
      </c>
      <c r="J104" s="107">
        <f>ROUNDUP(' AZUL 2'!J108,0)</f>
        <v>22</v>
      </c>
      <c r="K104" s="107">
        <f>ROUNDUP(' AZUL 2'!K108,0)</f>
        <v>10</v>
      </c>
      <c r="L104" s="107">
        <f>ROUNDUP(' AZUL 2'!L108,0)</f>
        <v>9</v>
      </c>
      <c r="M104" s="107">
        <f>ROUNDUP(' AZUL 2'!M108,0)</f>
        <v>10</v>
      </c>
      <c r="N104" s="107">
        <f>ROUNDUP(' AZUL 2'!N108,0)</f>
        <v>9</v>
      </c>
      <c r="O104" s="107">
        <v>0</v>
      </c>
      <c r="P104" s="107">
        <f>ROUNDUP(' AZUL 2'!P108,0)</f>
        <v>6</v>
      </c>
      <c r="Q104" s="107">
        <f>ROUNDUP(' AZUL 2'!Q108,0)</f>
        <v>9</v>
      </c>
    </row>
    <row r="105" spans="1:17" ht="15.75" customHeight="1">
      <c r="A105" s="22" t="s">
        <v>21</v>
      </c>
      <c r="B105" s="107">
        <f>ROUNDUP(' AZUL 2'!B109,0)</f>
        <v>0</v>
      </c>
      <c r="C105" s="107">
        <v>0</v>
      </c>
      <c r="D105" s="107">
        <v>0</v>
      </c>
      <c r="E105" s="107">
        <f>ROUNDUP(' AZUL 2'!E109,0)</f>
        <v>0</v>
      </c>
      <c r="F105" s="107">
        <f>ROUNDUP(' AZUL 2'!F109,0)</f>
        <v>0</v>
      </c>
      <c r="G105" s="107">
        <f>ROUNDUP(' AZUL 2'!G109,0)</f>
        <v>0</v>
      </c>
      <c r="H105" s="107">
        <f>ROUNDUP(' AZUL 2'!H109,0)</f>
        <v>0</v>
      </c>
      <c r="I105" s="107">
        <f>ROUNDUP(' AZUL 2'!I109,0)</f>
        <v>0</v>
      </c>
      <c r="J105" s="107">
        <f>ROUNDUP(' AZUL 2'!J109,0)</f>
        <v>5</v>
      </c>
      <c r="K105" s="107">
        <f>ROUNDUP(' AZUL 2'!K109,0)</f>
        <v>0</v>
      </c>
      <c r="L105" s="107">
        <f>ROUNDUP(' AZUL 2'!L109,0)</f>
        <v>0</v>
      </c>
      <c r="M105" s="107">
        <f>ROUNDUP(' AZUL 2'!M109,0)</f>
        <v>0</v>
      </c>
      <c r="N105" s="107">
        <f>ROUNDUP(' AZUL 2'!N109,0)</f>
        <v>0</v>
      </c>
      <c r="O105" s="107">
        <f>ROUNDUP(' AZUL 2'!O109,0)</f>
        <v>0</v>
      </c>
      <c r="P105" s="107">
        <f>ROUNDUP(' AZUL 2'!P109,0)</f>
        <v>0</v>
      </c>
      <c r="Q105" s="107">
        <f>ROUNDUP(' AZUL 2'!Q109,0)</f>
        <v>0</v>
      </c>
    </row>
    <row r="106" spans="1:17" ht="15.75" customHeight="1">
      <c r="A106" s="22" t="s">
        <v>22</v>
      </c>
      <c r="B106" s="107">
        <f>ROUNDUP(' AZUL 2'!B110,0)</f>
        <v>40</v>
      </c>
      <c r="C106" s="107">
        <v>0</v>
      </c>
      <c r="D106" s="107">
        <v>0</v>
      </c>
      <c r="E106" s="107">
        <f>ROUNDUP(' AZUL 2'!E110,0)</f>
        <v>25</v>
      </c>
      <c r="F106" s="107">
        <v>0</v>
      </c>
      <c r="G106" s="107">
        <f>ROUNDUP(' AZUL 2'!G110,0)</f>
        <v>20</v>
      </c>
      <c r="H106" s="107">
        <f>ROUNDUP(' AZUL 2'!H110,0)</f>
        <v>18</v>
      </c>
      <c r="I106" s="107">
        <f>ROUNDUP(' AZUL 2'!I110,0)</f>
        <v>16</v>
      </c>
      <c r="J106" s="107">
        <f>ROUNDUP(' AZUL 2'!J110,0)</f>
        <v>43</v>
      </c>
      <c r="K106" s="107">
        <f>ROUNDUP(' AZUL 2'!K110,0)</f>
        <v>19</v>
      </c>
      <c r="L106" s="107">
        <f>ROUNDUP(' AZUL 2'!L110,0)</f>
        <v>17</v>
      </c>
      <c r="M106" s="107">
        <f>ROUNDUP(' AZUL 2'!M110,0)</f>
        <v>20</v>
      </c>
      <c r="N106" s="107">
        <f>ROUNDUP(' AZUL 2'!N110,0)</f>
        <v>18</v>
      </c>
      <c r="O106" s="107">
        <v>0</v>
      </c>
      <c r="P106" s="107">
        <f>ROUNDUP(' AZUL 2'!P110,0)</f>
        <v>11</v>
      </c>
      <c r="Q106" s="107">
        <f>ROUNDUP(' AZUL 2'!Q110,0)</f>
        <v>18</v>
      </c>
    </row>
    <row r="107" spans="1:17" ht="15.75" customHeight="1">
      <c r="A107" s="22" t="s">
        <v>23</v>
      </c>
      <c r="B107" s="107">
        <f>ROUNDUP(' AZUL 2'!B111,0)</f>
        <v>0</v>
      </c>
      <c r="C107" s="107">
        <f>ROUNDUP(' AZUL 2'!C111,0)</f>
        <v>0</v>
      </c>
      <c r="D107" s="107">
        <f>ROUNDUP(' AZUL 2'!D111,0)</f>
        <v>0</v>
      </c>
      <c r="E107" s="107">
        <f>ROUNDUP(' AZUL 2'!E111,0)</f>
        <v>0</v>
      </c>
      <c r="F107" s="107">
        <f>ROUNDUP(' AZUL 2'!F111,0)</f>
        <v>0</v>
      </c>
      <c r="G107" s="107">
        <f>ROUNDUP(' AZUL 2'!G111,0)</f>
        <v>0</v>
      </c>
      <c r="H107" s="107">
        <f>ROUNDUP(' AZUL 2'!H111,0)</f>
        <v>0</v>
      </c>
      <c r="I107" s="107">
        <f>ROUNDUP(' AZUL 2'!I111,0)</f>
        <v>0</v>
      </c>
      <c r="J107" s="107">
        <f>ROUNDUP(' AZUL 2'!J111,0)</f>
        <v>0</v>
      </c>
      <c r="K107" s="107">
        <f>ROUNDUP(' AZUL 2'!K111,0)</f>
        <v>0</v>
      </c>
      <c r="L107" s="107">
        <f>ROUNDUP(' AZUL 2'!L111,0)</f>
        <v>0</v>
      </c>
      <c r="M107" s="107">
        <f>ROUNDUP(' AZUL 2'!M111,0)</f>
        <v>0</v>
      </c>
      <c r="N107" s="107">
        <f>ROUNDUP(' AZUL 2'!N111,0)</f>
        <v>0</v>
      </c>
      <c r="O107" s="107">
        <f>ROUNDUP(' AZUL 2'!O111,0)</f>
        <v>0</v>
      </c>
      <c r="P107" s="107">
        <f>ROUNDUP(' AZUL 2'!P111,0)</f>
        <v>0</v>
      </c>
      <c r="Q107" s="107">
        <f>ROUNDUP(' AZUL 2'!Q111,0)</f>
        <v>0</v>
      </c>
    </row>
    <row r="108" spans="1:17" ht="15.75" customHeight="1">
      <c r="A108" s="22" t="s">
        <v>24</v>
      </c>
      <c r="B108" s="107">
        <f>ROUNDUP(' AZUL 2'!B112,0)</f>
        <v>0</v>
      </c>
      <c r="C108" s="107">
        <f>ROUNDUP(' AZUL 2'!C112,0)</f>
        <v>0</v>
      </c>
      <c r="D108" s="107">
        <f>ROUNDUP(' AZUL 2'!D112,0)</f>
        <v>0</v>
      </c>
      <c r="E108" s="107">
        <f>ROUNDUP(' AZUL 2'!E112,0)</f>
        <v>0</v>
      </c>
      <c r="F108" s="107">
        <f>ROUNDUP(' AZUL 2'!F112,0)</f>
        <v>0</v>
      </c>
      <c r="G108" s="107">
        <f>ROUNDUP(' AZUL 2'!G112,0)</f>
        <v>0</v>
      </c>
      <c r="H108" s="107">
        <f>ROUNDUP(' AZUL 2'!H112,0)</f>
        <v>0</v>
      </c>
      <c r="I108" s="107">
        <f>ROUNDUP(' AZUL 2'!I112,0)</f>
        <v>0</v>
      </c>
      <c r="J108" s="107">
        <v>0</v>
      </c>
      <c r="K108" s="107">
        <f>ROUNDUP(' AZUL 2'!K112,0)</f>
        <v>0</v>
      </c>
      <c r="L108" s="107">
        <f>ROUNDUP(' AZUL 2'!L112,0)</f>
        <v>0</v>
      </c>
      <c r="M108" s="107">
        <f>ROUNDUP(' AZUL 2'!M112,0)</f>
        <v>0</v>
      </c>
      <c r="N108" s="107">
        <f>ROUNDUP(' AZUL 2'!N112,0)</f>
        <v>0</v>
      </c>
      <c r="O108" s="107">
        <f>ROUNDUP(' AZUL 2'!O112,0)</f>
        <v>0</v>
      </c>
      <c r="P108" s="107">
        <f>ROUNDUP(' AZUL 2'!P112,0)</f>
        <v>0</v>
      </c>
      <c r="Q108" s="107">
        <f>ROUNDUP(' AZUL 2'!Q112,0)</f>
        <v>0</v>
      </c>
    </row>
    <row r="109" spans="1:17" ht="15.75" customHeight="1">
      <c r="A109" s="22" t="s">
        <v>25</v>
      </c>
      <c r="B109" s="107">
        <f>ROUNDUP(' AZUL 2'!B113,0)</f>
        <v>0</v>
      </c>
      <c r="C109" s="107">
        <f>ROUNDUP(' AZUL 2'!C113,0)</f>
        <v>0</v>
      </c>
      <c r="D109" s="107">
        <f>ROUNDUP(' AZUL 2'!D113,0)</f>
        <v>0</v>
      </c>
      <c r="E109" s="107">
        <f>ROUNDUP(' AZUL 2'!E113,0)</f>
        <v>0</v>
      </c>
      <c r="F109" s="107">
        <f>ROUNDUP(' AZUL 2'!F113,0)</f>
        <v>0</v>
      </c>
      <c r="G109" s="107">
        <f>ROUNDUP(' AZUL 2'!G113,0)</f>
        <v>0</v>
      </c>
      <c r="H109" s="107">
        <f>ROUNDUP(' AZUL 2'!H113,0)</f>
        <v>0</v>
      </c>
      <c r="I109" s="107">
        <f>ROUNDUP(' AZUL 2'!I113,0)</f>
        <v>0</v>
      </c>
      <c r="J109" s="107">
        <v>0</v>
      </c>
      <c r="K109" s="107">
        <f>ROUNDUP(' AZUL 2'!K113,0)</f>
        <v>0</v>
      </c>
      <c r="L109" s="107">
        <f>ROUNDUP(' AZUL 2'!L113,0)</f>
        <v>0</v>
      </c>
      <c r="M109" s="107">
        <f>ROUNDUP(' AZUL 2'!M113,0)</f>
        <v>0</v>
      </c>
      <c r="N109" s="107">
        <f>ROUNDUP(' AZUL 2'!N113,0)</f>
        <v>0</v>
      </c>
      <c r="O109" s="107">
        <f>ROUNDUP(' AZUL 2'!O113,0)</f>
        <v>0</v>
      </c>
      <c r="P109" s="107">
        <f>ROUNDUP(' AZUL 2'!P113,0)</f>
        <v>0</v>
      </c>
      <c r="Q109" s="107">
        <f>ROUNDUP(' AZUL 2'!Q113,0)</f>
        <v>0</v>
      </c>
    </row>
    <row r="110" spans="1:17" ht="15.75" customHeight="1">
      <c r="A110" s="22" t="s">
        <v>26</v>
      </c>
      <c r="B110" s="107">
        <f>ROUNDUP(' AZUL 2'!B114,0)</f>
        <v>0</v>
      </c>
      <c r="C110" s="107">
        <f>ROUNDUP(' AZUL 2'!C114,0)</f>
        <v>0</v>
      </c>
      <c r="D110" s="107">
        <f>ROUNDUP(' AZUL 2'!D114,0)</f>
        <v>0</v>
      </c>
      <c r="E110" s="107">
        <f>ROUNDUP(' AZUL 2'!E114,0)</f>
        <v>0</v>
      </c>
      <c r="F110" s="107">
        <f>ROUNDUP(' AZUL 2'!F114,0)</f>
        <v>0</v>
      </c>
      <c r="G110" s="107">
        <f>ROUNDUP(' AZUL 2'!G114,0)</f>
        <v>0</v>
      </c>
      <c r="H110" s="107">
        <f>ROUNDUP(' AZUL 2'!H114,0)</f>
        <v>0</v>
      </c>
      <c r="I110" s="107">
        <f>ROUNDUP(' AZUL 2'!I114,0)</f>
        <v>0</v>
      </c>
      <c r="J110" s="107">
        <f>ROUNDUP(' AZUL 2'!J114,0)</f>
        <v>8</v>
      </c>
      <c r="K110" s="107">
        <f>ROUNDUP(' AZUL 2'!K114,0)</f>
        <v>0</v>
      </c>
      <c r="L110" s="107">
        <f>ROUNDUP(' AZUL 2'!L114,0)</f>
        <v>0</v>
      </c>
      <c r="M110" s="107">
        <f>ROUNDUP(' AZUL 2'!M114,0)</f>
        <v>0</v>
      </c>
      <c r="N110" s="107">
        <f>ROUNDUP(' AZUL 2'!N114,0)</f>
        <v>0</v>
      </c>
      <c r="O110" s="107">
        <f>ROUNDUP(' AZUL 2'!O114,0)</f>
        <v>0</v>
      </c>
      <c r="P110" s="107">
        <f>ROUNDUP(' AZUL 2'!P114,0)</f>
        <v>0</v>
      </c>
      <c r="Q110" s="107">
        <f>ROUNDUP(' AZUL 2'!Q114,0)</f>
        <v>0</v>
      </c>
    </row>
    <row r="111" spans="1:17" ht="15.75" customHeight="1">
      <c r="A111" s="22" t="s">
        <v>27</v>
      </c>
      <c r="B111" s="107">
        <f>ROUNDUP(' AZUL 2'!B115,0)</f>
        <v>0</v>
      </c>
      <c r="C111" s="107">
        <f>ROUNDUP(' AZUL 2'!C115,0)</f>
        <v>0</v>
      </c>
      <c r="D111" s="107">
        <f>ROUNDUP(' AZUL 2'!D115,0)</f>
        <v>0</v>
      </c>
      <c r="E111" s="107">
        <f>ROUNDUP(' AZUL 2'!E115,0)</f>
        <v>0</v>
      </c>
      <c r="F111" s="107">
        <f>ROUNDUP(' AZUL 2'!F115,0)</f>
        <v>0</v>
      </c>
      <c r="G111" s="107">
        <f>ROUNDUP(' AZUL 2'!G115,0)</f>
        <v>0</v>
      </c>
      <c r="H111" s="107">
        <f>ROUNDUP(' AZUL 2'!H115,0)</f>
        <v>0</v>
      </c>
      <c r="I111" s="107">
        <f>ROUNDUP(' AZUL 2'!I115,0)</f>
        <v>0</v>
      </c>
      <c r="J111" s="107">
        <f>ROUNDUP(' AZUL 2'!J115,0)</f>
        <v>3</v>
      </c>
      <c r="K111" s="107">
        <f>ROUNDUP(' AZUL 2'!K115,0)</f>
        <v>0</v>
      </c>
      <c r="L111" s="107">
        <f>ROUNDUP(' AZUL 2'!L115,0)</f>
        <v>0</v>
      </c>
      <c r="M111" s="107">
        <f>ROUNDUP(' AZUL 2'!M115,0)</f>
        <v>0</v>
      </c>
      <c r="N111" s="107">
        <f>ROUNDUP(' AZUL 2'!N115,0)</f>
        <v>0</v>
      </c>
      <c r="O111" s="107">
        <f>ROUNDUP(' AZUL 2'!O115,0)</f>
        <v>0</v>
      </c>
      <c r="P111" s="107">
        <f>ROUNDUP(' AZUL 2'!P115,0)</f>
        <v>0</v>
      </c>
      <c r="Q111" s="107">
        <f>ROUNDUP(' AZUL 2'!Q115,0)</f>
        <v>0</v>
      </c>
    </row>
    <row r="112" spans="1:17" ht="15.75" customHeight="1">
      <c r="A112" s="22" t="s">
        <v>28</v>
      </c>
      <c r="B112" s="107">
        <f>ROUNDUP(' AZUL 2'!B116,0)</f>
        <v>0</v>
      </c>
      <c r="C112" s="107">
        <f>ROUNDUP(' AZUL 2'!C116,0)</f>
        <v>0</v>
      </c>
      <c r="D112" s="107">
        <f>ROUNDUP(' AZUL 2'!D116,0)</f>
        <v>0</v>
      </c>
      <c r="E112" s="107">
        <f>ROUNDUP(' AZUL 2'!E116,0)</f>
        <v>0</v>
      </c>
      <c r="F112" s="107">
        <f>ROUNDUP(' AZUL 2'!F116,0)</f>
        <v>0</v>
      </c>
      <c r="G112" s="107">
        <f>ROUNDUP(' AZUL 2'!G116,0)</f>
        <v>0</v>
      </c>
      <c r="H112" s="107">
        <f>ROUNDUP(' AZUL 2'!H116,0)</f>
        <v>0</v>
      </c>
      <c r="I112" s="107">
        <f>ROUNDUP(' AZUL 2'!I116,0)</f>
        <v>0</v>
      </c>
      <c r="J112" s="107">
        <v>0</v>
      </c>
      <c r="K112" s="107">
        <f>ROUNDUP(' AZUL 2'!K116,0)</f>
        <v>0</v>
      </c>
      <c r="L112" s="107">
        <f>ROUNDUP(' AZUL 2'!L116,0)</f>
        <v>0</v>
      </c>
      <c r="M112" s="107">
        <f>ROUNDUP(' AZUL 2'!M116,0)</f>
        <v>0</v>
      </c>
      <c r="N112" s="107">
        <f>ROUNDUP(' AZUL 2'!N116,0)</f>
        <v>0</v>
      </c>
      <c r="O112" s="107">
        <f>ROUNDUP(' AZUL 2'!O116,0)</f>
        <v>0</v>
      </c>
      <c r="P112" s="107">
        <f>ROUNDUP(' AZUL 2'!P116,0)</f>
        <v>0</v>
      </c>
      <c r="Q112" s="107">
        <f>ROUNDUP(' AZUL 2'!Q116,0)</f>
        <v>0</v>
      </c>
    </row>
    <row r="113" spans="1:17" ht="15.75" customHeight="1">
      <c r="A113" s="22" t="s">
        <v>29</v>
      </c>
      <c r="B113" s="107">
        <f>ROUNDUP(' AZUL 2'!B117,0)</f>
        <v>0</v>
      </c>
      <c r="C113" s="107">
        <f>ROUNDUP(' AZUL 2'!C117,0)</f>
        <v>0</v>
      </c>
      <c r="D113" s="107">
        <f>ROUNDUP(' AZUL 2'!D117,0)</f>
        <v>0</v>
      </c>
      <c r="E113" s="107">
        <f>ROUNDUP(' AZUL 2'!E117,0)</f>
        <v>0</v>
      </c>
      <c r="F113" s="107">
        <f>ROUNDUP(' AZUL 2'!F117,0)</f>
        <v>0</v>
      </c>
      <c r="G113" s="107">
        <f>ROUNDUP(' AZUL 2'!G117,0)</f>
        <v>0</v>
      </c>
      <c r="H113" s="107">
        <f>ROUNDUP(' AZUL 2'!H117,0)</f>
        <v>0</v>
      </c>
      <c r="I113" s="107">
        <f>ROUNDUP(' AZUL 2'!I117,0)</f>
        <v>0</v>
      </c>
      <c r="J113" s="107">
        <f>ROUNDUP(' AZUL 2'!J117,0)</f>
        <v>2</v>
      </c>
      <c r="K113" s="107">
        <f>ROUNDUP(' AZUL 2'!K117,0)</f>
        <v>0</v>
      </c>
      <c r="L113" s="107">
        <f>ROUNDUP(' AZUL 2'!L117,0)</f>
        <v>0</v>
      </c>
      <c r="M113" s="107">
        <f>ROUNDUP(' AZUL 2'!M117,0)</f>
        <v>0</v>
      </c>
      <c r="N113" s="107">
        <f>ROUNDUP(' AZUL 2'!N117,0)</f>
        <v>0</v>
      </c>
      <c r="O113" s="107">
        <f>ROUNDUP(' AZUL 2'!O117,0)</f>
        <v>0</v>
      </c>
      <c r="P113" s="107">
        <f>ROUNDUP(' AZUL 2'!P117,0)</f>
        <v>0</v>
      </c>
      <c r="Q113" s="107">
        <f>ROUNDUP(' AZUL 2'!Q117,0)</f>
        <v>0</v>
      </c>
    </row>
    <row r="114" spans="1:17" ht="15.75" customHeight="1">
      <c r="A114" s="22" t="s">
        <v>30</v>
      </c>
      <c r="B114" s="107">
        <f>ROUNDUP(' AZUL 2'!B118,0)</f>
        <v>0</v>
      </c>
      <c r="C114" s="107">
        <f>ROUNDUP(' AZUL 2'!C118,0)</f>
        <v>0</v>
      </c>
      <c r="D114" s="107">
        <f>ROUNDUP(' AZUL 2'!D118,0)</f>
        <v>0</v>
      </c>
      <c r="E114" s="107">
        <f>ROUNDUP(' AZUL 2'!E118,0)</f>
        <v>0</v>
      </c>
      <c r="F114" s="107">
        <f>ROUNDUP(' AZUL 2'!F118,0)</f>
        <v>0</v>
      </c>
      <c r="G114" s="107">
        <f>ROUNDUP(' AZUL 2'!G118,0)</f>
        <v>0</v>
      </c>
      <c r="H114" s="107">
        <f>ROUNDUP(' AZUL 2'!H118,0)</f>
        <v>0</v>
      </c>
      <c r="I114" s="107">
        <f>ROUNDUP(' AZUL 2'!I118,0)</f>
        <v>0</v>
      </c>
      <c r="J114" s="107">
        <f>ROUNDUP(' AZUL 2'!J118,0)</f>
        <v>1</v>
      </c>
      <c r="K114" s="107">
        <f>ROUNDUP(' AZUL 2'!K118,0)</f>
        <v>0</v>
      </c>
      <c r="L114" s="107">
        <f>ROUNDUP(' AZUL 2'!L118,0)</f>
        <v>0</v>
      </c>
      <c r="M114" s="107">
        <f>ROUNDUP(' AZUL 2'!M118,0)</f>
        <v>0</v>
      </c>
      <c r="N114" s="107">
        <f>ROUNDUP(' AZUL 2'!N118,0)</f>
        <v>0</v>
      </c>
      <c r="O114" s="107">
        <f>ROUNDUP(' AZUL 2'!O118,0)</f>
        <v>0</v>
      </c>
      <c r="P114" s="107">
        <f>ROUNDUP(' AZUL 2'!P118,0)</f>
        <v>0</v>
      </c>
      <c r="Q114" s="107">
        <f>ROUNDUP(' AZUL 2'!Q118,0)</f>
        <v>0</v>
      </c>
    </row>
    <row r="115" spans="1:17" ht="15.75" customHeight="1">
      <c r="A115" s="22" t="s">
        <v>31</v>
      </c>
      <c r="B115" s="107">
        <f>ROUNDUP(' AZUL 2'!B119,0)</f>
        <v>0</v>
      </c>
      <c r="C115" s="107">
        <f>ROUNDUP(' AZUL 2'!C119,0)</f>
        <v>0</v>
      </c>
      <c r="D115" s="107">
        <f>ROUNDUP(' AZUL 2'!D119,0)</f>
        <v>0</v>
      </c>
      <c r="E115" s="107">
        <f>ROUNDUP(' AZUL 2'!E119,0)</f>
        <v>0</v>
      </c>
      <c r="F115" s="107">
        <f>ROUNDUP(' AZUL 2'!F119,0)</f>
        <v>0</v>
      </c>
      <c r="G115" s="107">
        <f>ROUNDUP(' AZUL 2'!G119,0)</f>
        <v>0</v>
      </c>
      <c r="H115" s="107">
        <f>ROUNDUP(' AZUL 2'!H119,0)</f>
        <v>0</v>
      </c>
      <c r="I115" s="107">
        <f>ROUNDUP(' AZUL 2'!I119,0)</f>
        <v>0</v>
      </c>
      <c r="J115" s="107">
        <f>ROUNDUP(' AZUL 2'!J119,0)</f>
        <v>1</v>
      </c>
      <c r="K115" s="107">
        <f>ROUNDUP(' AZUL 2'!K119,0)</f>
        <v>0</v>
      </c>
      <c r="L115" s="107">
        <f>ROUNDUP(' AZUL 2'!L119,0)</f>
        <v>0</v>
      </c>
      <c r="M115" s="107">
        <f>ROUNDUP(' AZUL 2'!M119,0)</f>
        <v>0</v>
      </c>
      <c r="N115" s="107">
        <f>ROUNDUP(' AZUL 2'!N119,0)</f>
        <v>0</v>
      </c>
      <c r="O115" s="107">
        <f>ROUNDUP(' AZUL 2'!O119,0)</f>
        <v>0</v>
      </c>
      <c r="P115" s="107">
        <f>ROUNDUP(' AZUL 2'!P119,0)</f>
        <v>0</v>
      </c>
      <c r="Q115" s="107">
        <f>ROUNDUP(' AZUL 2'!Q119,0)</f>
        <v>0</v>
      </c>
    </row>
    <row r="116" spans="1:17" ht="15.75" customHeight="1">
      <c r="A116" s="22" t="s">
        <v>32</v>
      </c>
      <c r="B116" s="107">
        <f>ROUNDUP(' AZUL 2'!B$120,0)</f>
        <v>0</v>
      </c>
      <c r="C116" s="107">
        <f>ROUNDUP(' AZUL 2'!C$120,0)</f>
        <v>0</v>
      </c>
      <c r="D116" s="107">
        <f>ROUNDUP(' AZUL 2'!D$120,0)</f>
        <v>0</v>
      </c>
      <c r="E116" s="107">
        <f>ROUNDUP(' AZUL 2'!E$120,0)</f>
        <v>0</v>
      </c>
      <c r="F116" s="107">
        <f>ROUNDUP(' AZUL 2'!F$120,0)</f>
        <v>0</v>
      </c>
      <c r="G116" s="107">
        <f>ROUNDUP(' AZUL 2'!G$120,0)</f>
        <v>0</v>
      </c>
      <c r="H116" s="107">
        <f>ROUNDUP(' AZUL 2'!H$120,0)</f>
        <v>0</v>
      </c>
      <c r="I116" s="107">
        <f>ROUNDUP(' AZUL 2'!I$120,0)</f>
        <v>0</v>
      </c>
      <c r="J116" s="107">
        <f>ROUNDUP(' AZUL 2'!J$120,0)</f>
        <v>5</v>
      </c>
      <c r="K116" s="107">
        <f>ROUNDUP(' AZUL 2'!K$120,0)</f>
        <v>0</v>
      </c>
      <c r="L116" s="107">
        <f>ROUNDUP(' AZUL 2'!L$120,0)</f>
        <v>0</v>
      </c>
      <c r="M116" s="107">
        <f>ROUNDUP(' AZUL 2'!M$120,0)</f>
        <v>0</v>
      </c>
      <c r="N116" s="107">
        <f>ROUNDUP(' AZUL 2'!N$120,0)</f>
        <v>0</v>
      </c>
      <c r="O116" s="107">
        <f>ROUNDUP(' AZUL 2'!O$120,0)</f>
        <v>0</v>
      </c>
      <c r="P116" s="107">
        <f>ROUNDUP(' AZUL 2'!P$120,0)</f>
        <v>0</v>
      </c>
      <c r="Q116" s="107">
        <f>ROUNDUP(' AZUL 2'!Q$120,0)</f>
        <v>0</v>
      </c>
    </row>
    <row r="117" spans="1: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</row>
    <row r="118" spans="1:17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</row>
    <row r="119" spans="1:17" ht="15.75" customHeight="1">
      <c r="Q119" s="18"/>
    </row>
    <row r="120" spans="1:17" ht="15.75" customHeight="1">
      <c r="Q120" s="18"/>
    </row>
    <row r="121" spans="1:17" ht="15.75" customHeight="1">
      <c r="Q121" s="18"/>
    </row>
    <row r="122" spans="1:17" ht="15.75" customHeight="1">
      <c r="Q122" s="18"/>
    </row>
    <row r="123" spans="1:17" ht="15.75" customHeight="1">
      <c r="Q123" s="18"/>
    </row>
    <row r="124" spans="1:17" ht="15.75" customHeight="1">
      <c r="Q124" s="18"/>
    </row>
    <row r="125" spans="1:17" ht="15.75" customHeight="1">
      <c r="Q125" s="18"/>
    </row>
    <row r="126" spans="1:17" ht="15.75" customHeight="1">
      <c r="Q126" s="18"/>
    </row>
    <row r="127" spans="1:17" ht="15.75" customHeight="1">
      <c r="Q127" s="18"/>
    </row>
    <row r="128" spans="1:17" ht="15.75" customHeight="1">
      <c r="Q128" s="18"/>
    </row>
    <row r="129" spans="17:17" ht="15.75" customHeight="1">
      <c r="Q129" s="18"/>
    </row>
    <row r="130" spans="17:17" ht="15.75" customHeight="1">
      <c r="Q130" s="18"/>
    </row>
    <row r="131" spans="17:17" ht="15.75" customHeight="1">
      <c r="Q131" s="18"/>
    </row>
    <row r="132" spans="17:17" ht="15.75" customHeight="1">
      <c r="Q132" s="18"/>
    </row>
    <row r="133" spans="17:17" ht="15.75" customHeight="1">
      <c r="Q133" s="18"/>
    </row>
    <row r="134" spans="17:17" ht="15.75" customHeight="1">
      <c r="Q134" s="18"/>
    </row>
    <row r="135" spans="17:17" ht="15.75" customHeight="1">
      <c r="Q135" s="18"/>
    </row>
    <row r="136" spans="17:17" ht="15.75" customHeight="1">
      <c r="Q136" s="18"/>
    </row>
    <row r="137" spans="17:17" ht="15.75" customHeight="1">
      <c r="Q137" s="18"/>
    </row>
    <row r="138" spans="17:17" ht="15.75" customHeight="1">
      <c r="Q138" s="18"/>
    </row>
    <row r="139" spans="17:17" ht="15.75" customHeight="1">
      <c r="Q139" s="18"/>
    </row>
    <row r="140" spans="17:17" ht="15.75" customHeight="1">
      <c r="Q140" s="18"/>
    </row>
    <row r="141" spans="17:17" ht="16.5" customHeight="1">
      <c r="Q141" s="18"/>
    </row>
    <row r="142" spans="17:17" ht="15.75" customHeight="1">
      <c r="Q142" s="18"/>
    </row>
    <row r="143" spans="17:17" ht="15.75" customHeight="1">
      <c r="Q143" s="18"/>
    </row>
    <row r="144" spans="17:17" ht="15.75" customHeight="1">
      <c r="Q144" s="18"/>
    </row>
    <row r="145" spans="17:17" ht="15.75" customHeight="1">
      <c r="Q145" s="18"/>
    </row>
    <row r="146" spans="17:17" ht="15.75" customHeight="1">
      <c r="Q146" s="18"/>
    </row>
    <row r="147" spans="17:17" ht="15.75" customHeight="1">
      <c r="Q147" s="18"/>
    </row>
    <row r="148" spans="17:17" ht="15.75" customHeight="1">
      <c r="Q148" s="18"/>
    </row>
    <row r="149" spans="17:17" ht="15.75" customHeight="1">
      <c r="Q149" s="18"/>
    </row>
    <row r="150" spans="17:17" ht="15.75" customHeight="1">
      <c r="Q150" s="18"/>
    </row>
    <row r="151" spans="17:17" ht="15.75" customHeight="1">
      <c r="Q151" s="18"/>
    </row>
    <row r="152" spans="17:17" ht="15.75" customHeight="1">
      <c r="Q152" s="18"/>
    </row>
    <row r="153" spans="17:17" ht="15.75" customHeight="1">
      <c r="Q153" s="18"/>
    </row>
    <row r="154" spans="17:17" ht="15.75" customHeight="1">
      <c r="Q154" s="18"/>
    </row>
    <row r="155" spans="17:17" ht="15.75" customHeight="1">
      <c r="Q155" s="18"/>
    </row>
    <row r="156" spans="17:17" ht="15.75" customHeight="1">
      <c r="Q156" s="18"/>
    </row>
    <row r="157" spans="17:17" ht="15.75" customHeight="1">
      <c r="Q157" s="18"/>
    </row>
    <row r="158" spans="17:17" ht="15.75" customHeight="1">
      <c r="Q158" s="18"/>
    </row>
    <row r="159" spans="17:17" ht="15.75" customHeight="1">
      <c r="Q159" s="18"/>
    </row>
    <row r="160" spans="17:17" ht="15.75" customHeight="1">
      <c r="Q160" s="18"/>
    </row>
    <row r="161" spans="1:17" ht="15.75" customHeight="1">
      <c r="Q161" s="18"/>
    </row>
    <row r="162" spans="1:17" ht="15.75" customHeight="1">
      <c r="Q162" s="18"/>
    </row>
    <row r="163" spans="1:17" ht="15.75" customHeight="1">
      <c r="Q163" s="18"/>
    </row>
    <row r="164" spans="1:17" ht="15.75" customHeight="1">
      <c r="Q164" s="18"/>
    </row>
    <row r="165" spans="1:17" ht="15.75" customHeight="1">
      <c r="Q165" s="18"/>
    </row>
    <row r="166" spans="1:17" ht="15.75" customHeight="1">
      <c r="Q166" s="18"/>
    </row>
    <row r="167" spans="1:17" ht="15.75" customHeight="1">
      <c r="Q167" s="18"/>
    </row>
    <row r="168" spans="1:17" ht="15.75" customHeight="1">
      <c r="Q168" s="18"/>
    </row>
    <row r="169" spans="1:17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</row>
    <row r="170" spans="1:17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</row>
    <row r="171" spans="1:17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</row>
    <row r="172" spans="1:17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</row>
    <row r="173" spans="1:17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</row>
    <row r="174" spans="1:17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</row>
    <row r="175" spans="1:17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</row>
    <row r="176" spans="1:17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</row>
    <row r="177" spans="1:1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</row>
    <row r="178" spans="1:17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</row>
    <row r="179" spans="1:17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</row>
    <row r="180" spans="1:17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</row>
    <row r="181" spans="1:17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</row>
    <row r="182" spans="1:17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</row>
    <row r="183" spans="1:17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</row>
    <row r="184" spans="1:17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</row>
    <row r="185" spans="1:17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</row>
    <row r="186" spans="1:17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</row>
    <row r="187" spans="1:1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</row>
    <row r="188" spans="1:17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</row>
    <row r="189" spans="1:17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</row>
    <row r="190" spans="1:17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</row>
    <row r="191" spans="1:17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</row>
    <row r="192" spans="1:17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</row>
    <row r="193" spans="1:17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</row>
    <row r="194" spans="1:17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</row>
    <row r="195" spans="1:17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</row>
    <row r="196" spans="1:17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</row>
    <row r="197" spans="1:1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</row>
    <row r="198" spans="1:17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</row>
    <row r="199" spans="1:17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</row>
    <row r="200" spans="1:17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</row>
    <row r="201" spans="1:17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</row>
    <row r="202" spans="1:17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</row>
    <row r="203" spans="1:17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</row>
    <row r="204" spans="1:17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</row>
    <row r="205" spans="1:17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</row>
    <row r="206" spans="1:17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</row>
    <row r="207" spans="1:1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</row>
    <row r="208" spans="1:17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</row>
    <row r="209" spans="1:17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</row>
    <row r="210" spans="1:17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</row>
    <row r="211" spans="1:17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</row>
    <row r="212" spans="1:17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</row>
    <row r="213" spans="1:17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</row>
    <row r="214" spans="1:17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</row>
    <row r="215" spans="1:17" ht="15.75" customHeight="1"/>
    <row r="216" spans="1:17" ht="15.75" customHeight="1"/>
    <row r="217" spans="1:17" ht="15.75" customHeight="1"/>
    <row r="218" spans="1:17" ht="15.75" customHeight="1"/>
    <row r="219" spans="1:17" ht="15.75" customHeight="1"/>
    <row r="220" spans="1:17" ht="15.75" customHeight="1"/>
    <row r="221" spans="1:17" ht="15.75" customHeight="1"/>
    <row r="222" spans="1:17" ht="15.75" customHeight="1"/>
    <row r="223" spans="1:17" ht="15.75" customHeight="1"/>
    <row r="224" spans="1:17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2">
    <mergeCell ref="A7:E7"/>
    <mergeCell ref="A8:E8"/>
  </mergeCells>
  <pageMargins left="0.7" right="0.7" top="0.75" bottom="0.75" header="0" footer="0"/>
  <pageSetup paperSize="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6:Z1033"/>
  <sheetViews>
    <sheetView topLeftCell="A43" workbookViewId="0">
      <selection activeCell="O145" sqref="O145"/>
    </sheetView>
  </sheetViews>
  <sheetFormatPr baseColWidth="10" defaultColWidth="14.42578125" defaultRowHeight="15" customHeight="1"/>
  <cols>
    <col min="1" max="1" width="32.28515625" customWidth="1"/>
    <col min="2" max="2" width="10.5703125" customWidth="1"/>
    <col min="3" max="3" width="8.28515625" customWidth="1"/>
    <col min="4" max="4" width="12.140625" customWidth="1"/>
    <col min="5" max="6" width="10.140625" customWidth="1"/>
    <col min="7" max="7" width="10.85546875" customWidth="1"/>
    <col min="8" max="8" width="11.28515625" customWidth="1"/>
    <col min="9" max="9" width="7.140625" customWidth="1"/>
    <col min="10" max="10" width="7.7109375" customWidth="1"/>
    <col min="11" max="11" width="14.140625" customWidth="1"/>
    <col min="12" max="12" width="12.140625" customWidth="1"/>
    <col min="13" max="13" width="8.85546875" customWidth="1"/>
    <col min="14" max="14" width="10.7109375" customWidth="1"/>
    <col min="15" max="16" width="7.140625" customWidth="1"/>
    <col min="17" max="17" width="8" customWidth="1"/>
    <col min="18" max="26" width="10.7109375" customWidth="1"/>
  </cols>
  <sheetData>
    <row r="6" spans="1:17" ht="15.75">
      <c r="A6" s="2" t="s">
        <v>0</v>
      </c>
      <c r="B6" s="3"/>
      <c r="C6" s="1"/>
      <c r="D6" s="1"/>
      <c r="E6" s="1"/>
    </row>
    <row r="7" spans="1:17" ht="15.75">
      <c r="A7" s="167" t="s">
        <v>1</v>
      </c>
      <c r="B7" s="168"/>
      <c r="C7" s="168"/>
      <c r="D7" s="168"/>
      <c r="E7" s="168"/>
    </row>
    <row r="8" spans="1:17" ht="15.75">
      <c r="A8" s="167" t="s">
        <v>2</v>
      </c>
      <c r="B8" s="168"/>
      <c r="C8" s="168"/>
      <c r="D8" s="168"/>
      <c r="E8" s="168"/>
    </row>
    <row r="10" spans="1:17" ht="18.75">
      <c r="A10" s="54" t="s">
        <v>90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7" ht="18.75">
      <c r="A11" s="54" t="s">
        <v>191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7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spans="1:17">
      <c r="A13" s="55"/>
      <c r="B13" s="157" t="s">
        <v>5</v>
      </c>
      <c r="C13" s="165" t="s">
        <v>6</v>
      </c>
      <c r="D13" s="157" t="s">
        <v>7</v>
      </c>
      <c r="E13" s="157" t="s">
        <v>8</v>
      </c>
      <c r="F13" s="157" t="s">
        <v>9</v>
      </c>
      <c r="G13" s="157" t="s">
        <v>10</v>
      </c>
      <c r="H13" s="157" t="s">
        <v>11</v>
      </c>
      <c r="I13" s="157" t="s">
        <v>12</v>
      </c>
      <c r="J13" s="157" t="s">
        <v>13</v>
      </c>
      <c r="K13" s="157" t="s">
        <v>14</v>
      </c>
      <c r="L13" s="155" t="s">
        <v>15</v>
      </c>
      <c r="M13" s="150" t="s">
        <v>16</v>
      </c>
      <c r="N13" s="150" t="s">
        <v>17</v>
      </c>
      <c r="O13" s="55"/>
      <c r="P13" s="55"/>
      <c r="Q13" s="33"/>
    </row>
    <row r="14" spans="1:17">
      <c r="A14" s="55"/>
      <c r="B14" s="19">
        <v>94</v>
      </c>
      <c r="C14" s="19">
        <v>101</v>
      </c>
      <c r="D14" s="19">
        <v>6</v>
      </c>
      <c r="E14" s="19">
        <v>164</v>
      </c>
      <c r="F14" s="19">
        <v>90</v>
      </c>
      <c r="G14" s="19">
        <v>28</v>
      </c>
      <c r="H14" s="19">
        <v>27</v>
      </c>
      <c r="I14" s="19">
        <v>71</v>
      </c>
      <c r="J14" s="19">
        <v>148</v>
      </c>
      <c r="K14" s="19">
        <v>86</v>
      </c>
      <c r="L14" s="19">
        <v>92</v>
      </c>
      <c r="M14" s="19">
        <v>13</v>
      </c>
      <c r="N14" s="19">
        <v>22</v>
      </c>
      <c r="O14" s="55"/>
      <c r="P14" s="55"/>
      <c r="Q14" s="33"/>
    </row>
    <row r="15" spans="1:17">
      <c r="A15" s="55"/>
      <c r="B15" s="19">
        <v>47</v>
      </c>
      <c r="C15" s="19">
        <v>0</v>
      </c>
      <c r="D15" s="19">
        <v>3</v>
      </c>
      <c r="E15" s="19">
        <v>82</v>
      </c>
      <c r="F15" s="19">
        <v>0</v>
      </c>
      <c r="G15" s="19">
        <v>14</v>
      </c>
      <c r="H15" s="19">
        <v>0</v>
      </c>
      <c r="I15" s="19">
        <v>0</v>
      </c>
      <c r="J15" s="19">
        <v>87</v>
      </c>
      <c r="K15" s="19">
        <v>43</v>
      </c>
      <c r="L15" s="19">
        <v>56</v>
      </c>
      <c r="M15" s="19">
        <v>0</v>
      </c>
      <c r="N15" s="19">
        <v>10</v>
      </c>
      <c r="O15" s="55"/>
      <c r="P15" s="55"/>
      <c r="Q15" s="33"/>
    </row>
    <row r="16" spans="1:17">
      <c r="A16" s="22" t="s">
        <v>192</v>
      </c>
      <c r="B16" s="110">
        <f>ROUNDUP(' AZUL 2'!B135,0)</f>
        <v>63</v>
      </c>
      <c r="C16" s="110">
        <v>0</v>
      </c>
      <c r="D16" s="110">
        <f>ROUNDUP(' AZUL 2'!D135,0)</f>
        <v>4</v>
      </c>
      <c r="E16" s="110">
        <f>ROUNDUP(' AZUL 2'!E135,0)</f>
        <v>109</v>
      </c>
      <c r="F16" s="110">
        <v>0</v>
      </c>
      <c r="G16" s="110">
        <f>ROUNDUP(' AZUL 2'!G135,0)</f>
        <v>19</v>
      </c>
      <c r="H16" s="110">
        <v>0</v>
      </c>
      <c r="I16" s="110">
        <f>ROUNDUP(' AZUL 2'!I135,0)</f>
        <v>43</v>
      </c>
      <c r="J16" s="110">
        <v>0</v>
      </c>
      <c r="K16" s="110">
        <f>ROUNDUP(' AZUL 2'!K135,0)</f>
        <v>57</v>
      </c>
      <c r="L16" s="110">
        <v>60</v>
      </c>
      <c r="M16" s="110">
        <v>5</v>
      </c>
      <c r="N16" s="110">
        <v>0</v>
      </c>
      <c r="O16" s="55"/>
      <c r="P16" s="55"/>
      <c r="Q16" s="33"/>
    </row>
    <row r="17" spans="1:17">
      <c r="A17" s="22" t="s">
        <v>193</v>
      </c>
      <c r="B17" s="110">
        <f>ROUNDUP(' AZUL 2'!B136,0)</f>
        <v>2</v>
      </c>
      <c r="C17" s="110">
        <f>ROUNDUP(' AZUL 2'!C136,0)</f>
        <v>2</v>
      </c>
      <c r="D17" s="110">
        <v>0</v>
      </c>
      <c r="E17" s="110">
        <f>ROUNDUP(' AZUL 2'!E136,0)</f>
        <v>4</v>
      </c>
      <c r="F17" s="110">
        <f>ROUNDUP(' AZUL 2'!F136,0)</f>
        <v>1</v>
      </c>
      <c r="G17" s="110">
        <v>2</v>
      </c>
      <c r="H17" s="110">
        <v>0</v>
      </c>
      <c r="I17" s="110">
        <f>ROUNDUP(' AZUL 2'!I136,0)</f>
        <v>1</v>
      </c>
      <c r="J17" s="110">
        <f>ROUNDUP(' AZUL 2'!J136,0)</f>
        <v>1</v>
      </c>
      <c r="K17" s="110">
        <f>ROUNDUP(' AZUL 2'!K136,0)</f>
        <v>1</v>
      </c>
      <c r="L17" s="110">
        <f>ROUNDUP(' AZUL 2'!L136,0)</f>
        <v>1</v>
      </c>
      <c r="M17" s="110">
        <f>ROUNDUP(' AZUL 2'!M136,0)</f>
        <v>1</v>
      </c>
      <c r="N17" s="110">
        <f>ROUNDUP(' AZUL 2'!N136,0)</f>
        <v>1</v>
      </c>
      <c r="O17" s="55"/>
      <c r="P17" s="55"/>
      <c r="Q17" s="33"/>
    </row>
    <row r="18" spans="1:17">
      <c r="A18" s="22" t="s">
        <v>194</v>
      </c>
      <c r="B18" s="110">
        <v>0</v>
      </c>
      <c r="C18" s="110">
        <v>0</v>
      </c>
      <c r="D18" s="110">
        <v>0</v>
      </c>
      <c r="E18" s="110">
        <f>ROUNDUP(' AZUL 2'!E137,0)</f>
        <v>10</v>
      </c>
      <c r="F18" s="110">
        <v>0</v>
      </c>
      <c r="G18" s="110">
        <f>ROUNDUP(' AZUL 2'!G137,0)</f>
        <v>2</v>
      </c>
      <c r="H18" s="110">
        <v>0</v>
      </c>
      <c r="I18" s="110">
        <v>0</v>
      </c>
      <c r="J18" s="110">
        <v>0</v>
      </c>
      <c r="K18" s="110">
        <v>0</v>
      </c>
      <c r="L18" s="110">
        <v>0</v>
      </c>
      <c r="M18" s="110">
        <f>ROUNDUP(' AZUL 2'!M137,0)</f>
        <v>1</v>
      </c>
      <c r="N18" s="110">
        <v>0</v>
      </c>
      <c r="O18" s="55"/>
      <c r="P18" s="55"/>
      <c r="Q18" s="33"/>
    </row>
    <row r="19" spans="1:17">
      <c r="A19" s="22" t="s">
        <v>95</v>
      </c>
      <c r="B19" s="110">
        <f>ROUNDUP(' AZUL 2'!B138,0)</f>
        <v>6</v>
      </c>
      <c r="C19" s="110">
        <f>ROUNDUP(' AZUL 2'!C138,0)</f>
        <v>6</v>
      </c>
      <c r="D19" s="110">
        <v>0</v>
      </c>
      <c r="E19" s="110">
        <f>ROUNDUP(' AZUL 2'!E138,0)</f>
        <v>10</v>
      </c>
      <c r="F19" s="110">
        <v>0</v>
      </c>
      <c r="G19" s="110">
        <f>ROUNDUP(' AZUL 2'!G138,0)</f>
        <v>2</v>
      </c>
      <c r="H19" s="110">
        <v>0</v>
      </c>
      <c r="I19" s="110">
        <f>ROUNDUP(' AZUL 2'!I138,0)</f>
        <v>4</v>
      </c>
      <c r="J19" s="110">
        <f>ROUNDUP(' AZUL 2'!J138,0)</f>
        <v>9</v>
      </c>
      <c r="K19" s="110">
        <v>0</v>
      </c>
      <c r="L19" s="110">
        <f>ROUNDUP(' AZUL 2'!L138,0)</f>
        <v>6</v>
      </c>
      <c r="M19" s="110">
        <f>ROUNDUP(' AZUL 2'!M138,0)</f>
        <v>1</v>
      </c>
      <c r="N19" s="110">
        <v>0</v>
      </c>
      <c r="O19" s="55"/>
      <c r="P19" s="55"/>
      <c r="Q19" s="33"/>
    </row>
    <row r="20" spans="1:17">
      <c r="A20" s="22" t="s">
        <v>195</v>
      </c>
      <c r="B20" s="110">
        <f>ROUNDUP(' AZUL 2'!B139,0)</f>
        <v>8</v>
      </c>
      <c r="C20" s="110">
        <v>0</v>
      </c>
      <c r="D20" s="110">
        <v>0</v>
      </c>
      <c r="E20" s="110">
        <f>ROUNDUP(' AZUL 2'!E139,0)</f>
        <v>13</v>
      </c>
      <c r="F20" s="110">
        <f>ROUNDUP(' AZUL 2'!F139,0)</f>
        <v>7</v>
      </c>
      <c r="G20" s="110">
        <f>ROUNDUP(' AZUL 2'!G139,0)</f>
        <v>3</v>
      </c>
      <c r="H20" s="110">
        <v>0</v>
      </c>
      <c r="I20" s="110">
        <f>ROUNDUP(' AZUL 2'!I139,0)</f>
        <v>6</v>
      </c>
      <c r="J20" s="110">
        <f>ROUNDUP(' AZUL 2'!J139,0)</f>
        <v>12</v>
      </c>
      <c r="K20" s="110">
        <f>ROUNDUP(' AZUL 2'!K139,0)</f>
        <v>7</v>
      </c>
      <c r="L20" s="110">
        <f>ROUNDUP(' AZUL 2'!L139,0)</f>
        <v>7</v>
      </c>
      <c r="M20" s="110">
        <f>ROUNDUP(' AZUL 2'!M139,0)</f>
        <v>1</v>
      </c>
      <c r="N20" s="110">
        <f>ROUNDUP(' AZUL 2'!N139,0)</f>
        <v>2</v>
      </c>
      <c r="O20" s="55"/>
      <c r="P20" s="55"/>
      <c r="Q20" s="33"/>
    </row>
    <row r="21" spans="1:17" ht="15.75" customHeight="1">
      <c r="A21" s="22" t="s">
        <v>196</v>
      </c>
      <c r="B21" s="110">
        <v>0</v>
      </c>
      <c r="C21" s="110">
        <v>0</v>
      </c>
      <c r="D21" s="110">
        <v>0</v>
      </c>
      <c r="E21" s="110">
        <f>ROUNDUP(' AZUL 2'!E140,0)</f>
        <v>4</v>
      </c>
      <c r="F21" s="110">
        <v>0</v>
      </c>
      <c r="G21" s="110">
        <f>ROUNDUP(' AZUL 2'!G140,0)</f>
        <v>1</v>
      </c>
      <c r="H21" s="110">
        <v>0</v>
      </c>
      <c r="I21" s="110">
        <v>0</v>
      </c>
      <c r="J21" s="110">
        <v>0</v>
      </c>
      <c r="K21" s="110">
        <f>ROUNDUP(' AZUL 2'!K140,0)</f>
        <v>2</v>
      </c>
      <c r="L21" s="110">
        <v>0</v>
      </c>
      <c r="M21" s="110">
        <f>ROUNDUP(' AZUL 2'!M140,0)</f>
        <v>1</v>
      </c>
      <c r="N21" s="110">
        <f>ROUNDUP(' AZUL 2'!N140,0)</f>
        <v>1</v>
      </c>
      <c r="O21" s="55"/>
      <c r="P21" s="55"/>
      <c r="Q21" s="33"/>
    </row>
    <row r="22" spans="1:17" ht="15.75" customHeight="1">
      <c r="A22" s="22" t="s">
        <v>98</v>
      </c>
      <c r="B22" s="110">
        <f>ROUNDUP(' AZUL 2'!B141,0)</f>
        <v>3</v>
      </c>
      <c r="C22" s="110">
        <f>ROUNDUP(' AZUL 2'!C141,0)</f>
        <v>0</v>
      </c>
      <c r="D22" s="110">
        <v>0</v>
      </c>
      <c r="E22" s="110">
        <f>ROUNDUP(' AZUL 2'!E141,0)</f>
        <v>5</v>
      </c>
      <c r="F22" s="110">
        <f>ROUNDUP(' AZUL 2'!F141,0)</f>
        <v>0</v>
      </c>
      <c r="G22" s="110">
        <f>ROUNDUP(' AZUL 2'!G141,0)</f>
        <v>1</v>
      </c>
      <c r="H22" s="110">
        <v>0</v>
      </c>
      <c r="I22" s="110">
        <f>ROUNDUP(' AZUL 2'!I141,0)</f>
        <v>0</v>
      </c>
      <c r="J22" s="110">
        <f>ROUNDUP(' AZUL 2'!J141,0)</f>
        <v>5</v>
      </c>
      <c r="K22" s="110">
        <f>ROUNDUP(' AZUL 2'!K141,0)</f>
        <v>3</v>
      </c>
      <c r="L22" s="110">
        <f>ROUNDUP(' AZUL 2'!L141,0)</f>
        <v>3</v>
      </c>
      <c r="M22" s="110">
        <f>ROUNDUP(' AZUL 2'!M141,0)</f>
        <v>0</v>
      </c>
      <c r="N22" s="110">
        <f>ROUNDUP(' AZUL 2'!N141,0)</f>
        <v>1</v>
      </c>
      <c r="O22" s="55"/>
      <c r="P22" s="55"/>
      <c r="Q22" s="33"/>
    </row>
    <row r="23" spans="1:17" ht="15.75" customHeight="1">
      <c r="A23" s="22" t="s">
        <v>197</v>
      </c>
      <c r="B23" s="110">
        <v>0</v>
      </c>
      <c r="C23" s="110">
        <f>ROUNDUP(' AZUL 2'!C142,0)</f>
        <v>0</v>
      </c>
      <c r="D23" s="110">
        <f>ROUNDUP(' AZUL 2'!D142,0)</f>
        <v>1</v>
      </c>
      <c r="E23" s="110">
        <v>1</v>
      </c>
      <c r="F23" s="110">
        <f>ROUNDUP(' AZUL 2'!F142,0)</f>
        <v>0</v>
      </c>
      <c r="G23" s="110">
        <f>ROUNDUP(' AZUL 2'!G142,0)</f>
        <v>1</v>
      </c>
      <c r="H23" s="110">
        <f>ROUNDUP(' AZUL 2'!H142,0)</f>
        <v>0</v>
      </c>
      <c r="I23" s="110">
        <f>ROUNDUP(' AZUL 2'!I142,0)</f>
        <v>0</v>
      </c>
      <c r="J23" s="110">
        <f>ROUNDUP(' AZUL 2'!J142,0)</f>
        <v>3</v>
      </c>
      <c r="K23" s="110">
        <f>ROUNDUP(' AZUL 2'!K142,0)</f>
        <v>2</v>
      </c>
      <c r="L23" s="110">
        <v>0</v>
      </c>
      <c r="M23" s="110">
        <f>ROUNDUP(' AZUL 2'!M142,0)</f>
        <v>0</v>
      </c>
      <c r="N23" s="110">
        <f>ROUNDUP(' AZUL 2'!N142,0)</f>
        <v>1</v>
      </c>
      <c r="O23" s="55"/>
      <c r="P23" s="55"/>
      <c r="Q23" s="33"/>
    </row>
    <row r="24" spans="1:17" ht="15.75" customHeight="1">
      <c r="A24" s="22" t="s">
        <v>198</v>
      </c>
      <c r="B24" s="110">
        <v>0</v>
      </c>
      <c r="C24" s="110">
        <f>ROUNDUP(' AZUL 2'!C143,0)</f>
        <v>0</v>
      </c>
      <c r="D24" s="110">
        <v>0</v>
      </c>
      <c r="E24" s="110">
        <f>ROUNDUP(' AZUL 2'!E143,0)</f>
        <v>7</v>
      </c>
      <c r="F24" s="110">
        <f>ROUNDUP(' AZUL 2'!F143,0)</f>
        <v>0</v>
      </c>
      <c r="G24" s="110">
        <f>ROUNDUP(' AZUL 2'!G143,0)</f>
        <v>2</v>
      </c>
      <c r="H24" s="110">
        <f>ROUNDUP(' AZUL 2'!H143,0)</f>
        <v>0</v>
      </c>
      <c r="I24" s="110">
        <f>ROUNDUP(' AZUL 2'!I143,0)</f>
        <v>0</v>
      </c>
      <c r="J24" s="110">
        <f>ROUNDUP(' AZUL 2'!J143,0)</f>
        <v>7</v>
      </c>
      <c r="K24" s="110">
        <v>0</v>
      </c>
      <c r="L24" s="110">
        <v>0</v>
      </c>
      <c r="M24" s="110">
        <f>ROUNDUP(' AZUL 2'!M143,0)</f>
        <v>0</v>
      </c>
      <c r="N24" s="110">
        <v>0</v>
      </c>
      <c r="O24" s="55"/>
      <c r="P24" s="55"/>
      <c r="Q24" s="33"/>
    </row>
    <row r="25" spans="1:17" ht="15.75" customHeight="1">
      <c r="A25" s="22" t="s">
        <v>199</v>
      </c>
      <c r="B25" s="110">
        <v>0</v>
      </c>
      <c r="C25" s="110">
        <f>ROUNDUP(' AZUL 2'!C144,0)</f>
        <v>0</v>
      </c>
      <c r="D25" s="110">
        <f>ROUNDUP(' AZUL 2'!D144,0)</f>
        <v>0</v>
      </c>
      <c r="E25" s="110">
        <f>ROUNDUP(' AZUL 2'!E144,0)</f>
        <v>0</v>
      </c>
      <c r="F25" s="110">
        <f>ROUNDUP(' AZUL 2'!F144,0)</f>
        <v>0</v>
      </c>
      <c r="G25" s="110">
        <f>ROUNDUP(' AZUL 2'!G144,0)</f>
        <v>0</v>
      </c>
      <c r="H25" s="110">
        <f>ROUNDUP(' AZUL 2'!H144,0)</f>
        <v>0</v>
      </c>
      <c r="I25" s="110">
        <f>ROUNDUP(' AZUL 2'!I144,0)</f>
        <v>0</v>
      </c>
      <c r="J25" s="110">
        <f>ROUNDUP(' AZUL 2'!J144,0)</f>
        <v>0</v>
      </c>
      <c r="K25" s="110">
        <f>ROUNDUP(' AZUL 2'!K144,0)</f>
        <v>0</v>
      </c>
      <c r="L25" s="110">
        <f>ROUNDUP(' AZUL 2'!L144,0)</f>
        <v>0</v>
      </c>
      <c r="M25" s="110">
        <f>ROUNDUP(' AZUL 2'!M144,0)</f>
        <v>0</v>
      </c>
      <c r="N25" s="110">
        <v>0</v>
      </c>
      <c r="O25" s="55"/>
      <c r="P25" s="55"/>
      <c r="Q25" s="33"/>
    </row>
    <row r="26" spans="1:17" ht="15.75" customHeight="1">
      <c r="A26" s="22" t="s">
        <v>200</v>
      </c>
      <c r="B26" s="110">
        <f>ROUNDUP(' AZUL 2'!B145,0)</f>
        <v>6</v>
      </c>
      <c r="C26" s="110">
        <f>ROUNDUP(' AZUL 2'!C145,0)</f>
        <v>0</v>
      </c>
      <c r="D26" s="110">
        <f>ROUNDUP(' AZUL 2'!D145,0)</f>
        <v>1</v>
      </c>
      <c r="E26" s="110">
        <f>ROUNDUP(' AZUL 2'!E145,0)</f>
        <v>10</v>
      </c>
      <c r="F26" s="110">
        <f>ROUNDUP(' AZUL 2'!F145,0)</f>
        <v>0</v>
      </c>
      <c r="G26" s="110">
        <f>ROUNDUP(' AZUL 2'!G145,0)</f>
        <v>2</v>
      </c>
      <c r="H26" s="110">
        <f>ROUNDUP(' AZUL 2'!H145,0)</f>
        <v>0</v>
      </c>
      <c r="I26" s="110">
        <f>ROUNDUP(' AZUL 2'!I145,0)</f>
        <v>0</v>
      </c>
      <c r="J26" s="110">
        <f>ROUNDUP(' AZUL 2'!J145,0)</f>
        <v>10</v>
      </c>
      <c r="K26" s="110">
        <f>ROUNDUP(' AZUL 2'!K145,0)</f>
        <v>5</v>
      </c>
      <c r="L26" s="110">
        <f>ROUNDUP(' AZUL 2'!L145,0)</f>
        <v>7</v>
      </c>
      <c r="M26" s="110">
        <f>ROUNDUP(' AZUL 2'!M145,0)</f>
        <v>0</v>
      </c>
      <c r="N26" s="110">
        <v>0</v>
      </c>
      <c r="O26" s="55"/>
      <c r="P26" s="55"/>
      <c r="Q26" s="33"/>
    </row>
    <row r="27" spans="1:17" ht="15.75" customHeight="1">
      <c r="A27" s="22" t="s">
        <v>201</v>
      </c>
      <c r="B27" s="110">
        <f>ROUNDUP(' AZUL 2'!B146,0)</f>
        <v>0</v>
      </c>
      <c r="C27" s="110">
        <f>ROUNDUP(' AZUL 2'!C146,0)</f>
        <v>0</v>
      </c>
      <c r="D27" s="110">
        <f>ROUNDUP(' AZUL 2'!D146,0)</f>
        <v>0</v>
      </c>
      <c r="E27" s="110">
        <f>ROUNDUP(' AZUL 2'!E146,0)</f>
        <v>0</v>
      </c>
      <c r="F27" s="110">
        <f>ROUNDUP(' AZUL 2'!F146,0)</f>
        <v>0</v>
      </c>
      <c r="G27" s="110">
        <f>ROUNDUP(' AZUL 2'!G146,0)</f>
        <v>0</v>
      </c>
      <c r="H27" s="110">
        <f>ROUNDUP(' AZUL 2'!H146,0)</f>
        <v>0</v>
      </c>
      <c r="I27" s="110">
        <f>ROUNDUP(' AZUL 2'!I146,0)</f>
        <v>0</v>
      </c>
      <c r="J27" s="110">
        <f>ROUNDUP(' AZUL 2'!J146,0)</f>
        <v>0</v>
      </c>
      <c r="K27" s="110">
        <f>ROUNDUP(' AZUL 2'!K146,0)</f>
        <v>0</v>
      </c>
      <c r="L27" s="110">
        <f>ROUNDUP(' AZUL 2'!L146,0)</f>
        <v>0</v>
      </c>
      <c r="M27" s="110">
        <f>ROUNDUP(' AZUL 2'!M146,0)</f>
        <v>0</v>
      </c>
      <c r="N27" s="110">
        <f>ROUNDUP(' AZUL 2'!N146,0)</f>
        <v>0</v>
      </c>
      <c r="O27" s="55"/>
      <c r="P27" s="55"/>
      <c r="Q27" s="33"/>
    </row>
    <row r="28" spans="1:17" ht="15.75" customHeight="1">
      <c r="A28" s="22" t="s">
        <v>202</v>
      </c>
      <c r="B28" s="110">
        <f>ROUNDUP(' AZUL 2'!B147,0)</f>
        <v>0</v>
      </c>
      <c r="C28" s="110">
        <f>ROUNDUP(' AZUL 2'!C147,0)</f>
        <v>0</v>
      </c>
      <c r="D28" s="110">
        <f>ROUNDUP(' AZUL 2'!D147,0)</f>
        <v>0</v>
      </c>
      <c r="E28" s="110">
        <f>ROUNDUP(' AZUL 2'!E147,0)</f>
        <v>0</v>
      </c>
      <c r="F28" s="110">
        <f>ROUNDUP(' AZUL 2'!F147,0)</f>
        <v>0</v>
      </c>
      <c r="G28" s="110">
        <f>ROUNDUP(' AZUL 2'!G147,0)</f>
        <v>0</v>
      </c>
      <c r="H28" s="110">
        <f>ROUNDUP(' AZUL 2'!H147,0)</f>
        <v>0</v>
      </c>
      <c r="I28" s="110">
        <f>ROUNDUP(' AZUL 2'!I147,0)</f>
        <v>0</v>
      </c>
      <c r="J28" s="110">
        <f>ROUNDUP(' AZUL 2'!J147,0)</f>
        <v>0</v>
      </c>
      <c r="K28" s="110">
        <f>ROUNDUP(' AZUL 2'!K147,0)</f>
        <v>0</v>
      </c>
      <c r="L28" s="110">
        <f>ROUNDUP(' AZUL 2'!L147,0)</f>
        <v>0</v>
      </c>
      <c r="M28" s="110">
        <f>ROUNDUP(' AZUL 2'!M147,0)</f>
        <v>0</v>
      </c>
      <c r="N28" s="110">
        <f>ROUNDUP(' AZUL 2'!N147,0)</f>
        <v>0</v>
      </c>
      <c r="O28" s="55"/>
      <c r="P28" s="55"/>
      <c r="Q28" s="33"/>
    </row>
    <row r="29" spans="1:17" ht="15.75" customHeight="1">
      <c r="A29" s="22" t="s">
        <v>105</v>
      </c>
      <c r="B29" s="110">
        <f>ROUNDUP(' AZUL 2'!B148,0)</f>
        <v>3</v>
      </c>
      <c r="C29" s="110">
        <f>ROUNDUP(' AZUL 2'!C148,0)</f>
        <v>0</v>
      </c>
      <c r="D29" s="110">
        <v>0</v>
      </c>
      <c r="E29" s="110">
        <f>ROUNDUP(' AZUL 2'!E148,0)</f>
        <v>5</v>
      </c>
      <c r="F29" s="110">
        <f>ROUNDUP(' AZUL 2'!F148,0)</f>
        <v>0</v>
      </c>
      <c r="G29" s="110">
        <f>ROUNDUP(' AZUL 2'!G148,0)</f>
        <v>1</v>
      </c>
      <c r="H29" s="110">
        <f>ROUNDUP(' AZUL 2'!H148,0)</f>
        <v>0</v>
      </c>
      <c r="I29" s="110">
        <f>ROUNDUP(' AZUL 2'!I148,0)</f>
        <v>0</v>
      </c>
      <c r="J29" s="110">
        <v>0</v>
      </c>
      <c r="K29" s="110">
        <v>0</v>
      </c>
      <c r="L29" s="110">
        <v>0</v>
      </c>
      <c r="M29" s="110">
        <f>ROUNDUP(' AZUL 2'!M148,0)</f>
        <v>0</v>
      </c>
      <c r="N29" s="110">
        <v>0</v>
      </c>
      <c r="O29" s="55"/>
      <c r="P29" s="55"/>
      <c r="Q29" s="33"/>
    </row>
    <row r="30" spans="1:17" ht="15.75" customHeight="1">
      <c r="A30" s="22" t="s">
        <v>203</v>
      </c>
      <c r="B30" s="110">
        <f>ROUNDUP(' AZUL 2'!B149,0)</f>
        <v>1</v>
      </c>
      <c r="C30" s="110">
        <f>ROUNDUP(' AZUL 2'!C149,0)</f>
        <v>0</v>
      </c>
      <c r="D30" s="110">
        <v>0</v>
      </c>
      <c r="E30" s="110">
        <f>ROUNDUP(' AZUL 2'!E149,0)</f>
        <v>1</v>
      </c>
      <c r="F30" s="110">
        <f>ROUNDUP(' AZUL 2'!F149,0)</f>
        <v>0</v>
      </c>
      <c r="G30" s="110">
        <f>ROUNDUP(' AZUL 2'!G149,0)</f>
        <v>1</v>
      </c>
      <c r="H30" s="110">
        <f>ROUNDUP(' AZUL 2'!H149,0)</f>
        <v>0</v>
      </c>
      <c r="I30" s="110">
        <f>ROUNDUP(' AZUL 2'!I149,0)</f>
        <v>0</v>
      </c>
      <c r="J30" s="110">
        <f>ROUNDUP(' AZUL 2'!J149,0)</f>
        <v>1</v>
      </c>
      <c r="K30" s="110">
        <f>ROUNDUP(' AZUL 2'!K149,0)</f>
        <v>1</v>
      </c>
      <c r="L30" s="110">
        <f>ROUNDUP(' AZUL 2'!L149,0)</f>
        <v>1</v>
      </c>
      <c r="M30" s="110">
        <f>ROUNDUP(' AZUL 2'!M149,0)</f>
        <v>0</v>
      </c>
      <c r="N30" s="110">
        <v>0</v>
      </c>
      <c r="O30" s="55"/>
      <c r="P30" s="55"/>
      <c r="Q30" s="33"/>
    </row>
    <row r="31" spans="1:17" ht="15.75" customHeight="1">
      <c r="A31" s="22" t="s">
        <v>204</v>
      </c>
      <c r="B31" s="110">
        <v>0</v>
      </c>
      <c r="C31" s="110">
        <f>ROUNDUP(' AZUL 2'!C150,0)</f>
        <v>0</v>
      </c>
      <c r="D31" s="110">
        <f>ROUNDUP(' AZUL 2'!D150,0)</f>
        <v>1</v>
      </c>
      <c r="E31" s="110">
        <f>ROUNDUP(' AZUL 2'!E150,0)</f>
        <v>12</v>
      </c>
      <c r="F31" s="110">
        <f>ROUNDUP(' AZUL 2'!F150,0)</f>
        <v>0</v>
      </c>
      <c r="G31" s="110">
        <v>3</v>
      </c>
      <c r="H31" s="110">
        <f>ROUNDUP(' AZUL 2'!H150,0)</f>
        <v>0</v>
      </c>
      <c r="I31" s="110">
        <f>ROUNDUP(' AZUL 2'!I150,0)</f>
        <v>0</v>
      </c>
      <c r="J31" s="110">
        <f>ROUNDUP(' AZUL 2'!J150,0)</f>
        <v>13</v>
      </c>
      <c r="K31" s="110">
        <v>0</v>
      </c>
      <c r="L31" s="110">
        <v>0</v>
      </c>
      <c r="M31" s="110">
        <f>ROUNDUP(' AZUL 2'!M150,0)</f>
        <v>0</v>
      </c>
      <c r="N31" s="110">
        <v>0</v>
      </c>
      <c r="O31" s="55"/>
      <c r="P31" s="55"/>
      <c r="Q31" s="33"/>
    </row>
    <row r="32" spans="1:17" ht="15.75" customHeight="1">
      <c r="A32" s="22" t="s">
        <v>108</v>
      </c>
      <c r="B32" s="110">
        <f>ROUNDUP(' AZUL 2'!B151,0)</f>
        <v>5</v>
      </c>
      <c r="C32" s="110">
        <f>ROUNDUP(' AZUL 2'!C151,0)</f>
        <v>0</v>
      </c>
      <c r="D32" s="110">
        <f>ROUNDUP(' AZUL 2'!D151,0)</f>
        <v>1</v>
      </c>
      <c r="E32" s="110">
        <f>ROUNDUP(' AZUL 2'!E151,0)</f>
        <v>8</v>
      </c>
      <c r="F32" s="110">
        <f>ROUNDUP(' AZUL 2'!F151,0)</f>
        <v>0</v>
      </c>
      <c r="G32" s="110">
        <f>ROUNDUP(' AZUL 2'!G151,0)</f>
        <v>2</v>
      </c>
      <c r="H32" s="110">
        <f>ROUNDUP(' AZUL 2'!H151,0)</f>
        <v>0</v>
      </c>
      <c r="I32" s="110">
        <f>ROUNDUP(' AZUL 2'!I151,0)</f>
        <v>0</v>
      </c>
      <c r="J32" s="110">
        <f>ROUNDUP(' AZUL 2'!J151,0)</f>
        <v>8</v>
      </c>
      <c r="K32" s="110">
        <f>ROUNDUP(' AZUL 2'!K151,0)</f>
        <v>4</v>
      </c>
      <c r="L32" s="110">
        <f>ROUNDUP(' AZUL 2'!L151,0)</f>
        <v>6</v>
      </c>
      <c r="M32" s="110">
        <f>ROUNDUP(' AZUL 2'!M151,0)</f>
        <v>0</v>
      </c>
      <c r="N32" s="110">
        <f>ROUNDUP(' AZUL 2'!N151,0)</f>
        <v>1</v>
      </c>
      <c r="O32" s="55"/>
      <c r="P32" s="55"/>
      <c r="Q32" s="33"/>
    </row>
    <row r="33" spans="1:17" ht="15.75" customHeight="1">
      <c r="A33" s="111" t="s">
        <v>109</v>
      </c>
      <c r="B33" s="110">
        <f>ROUNDUP(' AZUL 2'!B152,0)</f>
        <v>2</v>
      </c>
      <c r="C33" s="110">
        <f>ROUNDUP(' AZUL 2'!C152,0)</f>
        <v>0</v>
      </c>
      <c r="D33" s="110">
        <f>ROUNDUP(' AZUL 2'!D152,0)</f>
        <v>1</v>
      </c>
      <c r="E33" s="110">
        <v>0</v>
      </c>
      <c r="F33" s="110">
        <f>ROUNDUP(' AZUL 2'!F152,0)</f>
        <v>0</v>
      </c>
      <c r="G33" s="110">
        <f>ROUNDUP(' AZUL 2'!G152,0)</f>
        <v>1</v>
      </c>
      <c r="H33" s="110">
        <f>ROUNDUP(' AZUL 2'!H152,0)</f>
        <v>0</v>
      </c>
      <c r="I33" s="110">
        <f>ROUNDUP(' AZUL 2'!I152,0)</f>
        <v>0</v>
      </c>
      <c r="J33" s="110">
        <f>ROUNDUP(' AZUL 2'!J152,0)</f>
        <v>4</v>
      </c>
      <c r="K33" s="110">
        <v>0</v>
      </c>
      <c r="L33" s="110">
        <f>ROUNDUP(' AZUL 2'!L152,0)</f>
        <v>2</v>
      </c>
      <c r="M33" s="110">
        <f>ROUNDUP(' AZUL 2'!M152,0)</f>
        <v>0</v>
      </c>
      <c r="N33" s="110">
        <f>ROUNDUP(' AZUL 2'!N152,0)</f>
        <v>1</v>
      </c>
      <c r="O33" s="55"/>
      <c r="P33" s="55"/>
      <c r="Q33" s="33"/>
    </row>
    <row r="34" spans="1:17" ht="15.75" customHeight="1">
      <c r="A34" s="111" t="s">
        <v>110</v>
      </c>
      <c r="B34" s="110">
        <v>0</v>
      </c>
      <c r="C34" s="110">
        <f>ROUNDUP(' AZUL 2'!C153,0)</f>
        <v>0</v>
      </c>
      <c r="D34" s="110">
        <f>ROUNDUP(' AZUL 2'!D153,0)</f>
        <v>1</v>
      </c>
      <c r="E34" s="110">
        <f>ROUNDUP(' AZUL 2'!E153,0)</f>
        <v>1</v>
      </c>
      <c r="F34" s="110">
        <f>ROUNDUP(' AZUL 2'!F153,0)</f>
        <v>0</v>
      </c>
      <c r="G34" s="110">
        <f>ROUNDUP(' AZUL 2'!G153,0)</f>
        <v>1</v>
      </c>
      <c r="H34" s="110">
        <f>ROUNDUP(' AZUL 2'!H153,0)</f>
        <v>0</v>
      </c>
      <c r="I34" s="110">
        <f>ROUNDUP(' AZUL 2'!I153,0)</f>
        <v>0</v>
      </c>
      <c r="J34" s="110">
        <f>ROUNDUP(' AZUL 2'!J153,0)</f>
        <v>1</v>
      </c>
      <c r="K34" s="110">
        <v>0</v>
      </c>
      <c r="L34" s="110">
        <v>0</v>
      </c>
      <c r="M34" s="110">
        <f>ROUNDUP(' AZUL 2'!M153,0)</f>
        <v>0</v>
      </c>
      <c r="N34" s="110">
        <v>0</v>
      </c>
      <c r="O34" s="55"/>
      <c r="P34" s="55"/>
      <c r="Q34" s="33"/>
    </row>
    <row r="35" spans="1:17" ht="15.75" customHeight="1">
      <c r="A35" s="111" t="s">
        <v>111</v>
      </c>
      <c r="B35" s="110">
        <v>0</v>
      </c>
      <c r="C35" s="110">
        <f>ROUNDUP(' AZUL 2'!C154,0)</f>
        <v>0</v>
      </c>
      <c r="D35" s="110">
        <f>ROUNDUP(' AZUL 2'!D154,0)</f>
        <v>0</v>
      </c>
      <c r="E35" s="110">
        <f>ROUNDUP(' AZUL 2'!E154,0)</f>
        <v>0</v>
      </c>
      <c r="F35" s="110">
        <f>ROUNDUP(' AZUL 2'!F154,0)</f>
        <v>0</v>
      </c>
      <c r="G35" s="110">
        <f>ROUNDUP(' AZUL 2'!G154,0)</f>
        <v>0</v>
      </c>
      <c r="H35" s="110">
        <f>ROUNDUP(' AZUL 2'!H154,0)</f>
        <v>0</v>
      </c>
      <c r="I35" s="110">
        <f>ROUNDUP(' AZUL 2'!I154,0)</f>
        <v>0</v>
      </c>
      <c r="J35" s="110">
        <f>ROUNDUP(' AZUL 2'!J154,0)</f>
        <v>0</v>
      </c>
      <c r="K35" s="110">
        <f>ROUNDUP(' AZUL 2'!K154,0)</f>
        <v>0</v>
      </c>
      <c r="L35" s="110">
        <f>ROUNDUP(' AZUL 2'!L154,0)</f>
        <v>0</v>
      </c>
      <c r="M35" s="110">
        <f>ROUNDUP(' AZUL 2'!M154,0)</f>
        <v>0</v>
      </c>
      <c r="N35" s="110">
        <v>0</v>
      </c>
      <c r="O35" s="55"/>
      <c r="P35" s="55"/>
      <c r="Q35" s="33"/>
    </row>
    <row r="36" spans="1:17" ht="15.75" customHeight="1">
      <c r="A36" s="111" t="s">
        <v>112</v>
      </c>
      <c r="B36" s="110">
        <f>ROUNDUP(' AZUL 2'!B155,0)</f>
        <v>3</v>
      </c>
      <c r="C36" s="110">
        <f>ROUNDUP(' AZUL 2'!C155,0)</f>
        <v>0</v>
      </c>
      <c r="D36" s="110">
        <f>ROUNDUP(' AZUL 2'!D155,0)</f>
        <v>1</v>
      </c>
      <c r="E36" s="110">
        <f>ROUNDUP(' AZUL 2'!E155,0)</f>
        <v>5</v>
      </c>
      <c r="F36" s="110">
        <f>ROUNDUP(' AZUL 2'!F155,0)</f>
        <v>0</v>
      </c>
      <c r="G36" s="110">
        <f>ROUNDUP(' AZUL 2'!G155,0)</f>
        <v>1</v>
      </c>
      <c r="H36" s="110">
        <f>ROUNDUP(' AZUL 2'!H155,0)</f>
        <v>0</v>
      </c>
      <c r="I36" s="110">
        <f>ROUNDUP(' AZUL 2'!I155,0)</f>
        <v>0</v>
      </c>
      <c r="J36" s="110">
        <f>ROUNDUP(' AZUL 2'!J155,0)</f>
        <v>5</v>
      </c>
      <c r="K36" s="110">
        <f>ROUNDUP(' AZUL 2'!K155,0)</f>
        <v>3</v>
      </c>
      <c r="L36" s="110">
        <f>ROUNDUP(' AZUL 2'!L155,0)</f>
        <v>3</v>
      </c>
      <c r="M36" s="110">
        <f>ROUNDUP(' AZUL 2'!M155,0)</f>
        <v>0</v>
      </c>
      <c r="N36" s="110">
        <v>0</v>
      </c>
      <c r="O36" s="55"/>
      <c r="P36" s="55"/>
      <c r="Q36" s="33"/>
    </row>
    <row r="37" spans="1:17" ht="15.75" customHeight="1">
      <c r="A37" s="111" t="s">
        <v>113</v>
      </c>
      <c r="B37" s="110">
        <f>ROUNDUP(' AZUL 2'!B156,0)</f>
        <v>4</v>
      </c>
      <c r="C37" s="110">
        <f>ROUNDUP(' AZUL 2'!C156,0)</f>
        <v>0</v>
      </c>
      <c r="D37" s="110">
        <f>ROUNDUP(' AZUL 2'!D156,0)</f>
        <v>1</v>
      </c>
      <c r="E37" s="110">
        <f>ROUNDUP(' AZUL 2'!E156,0)</f>
        <v>7</v>
      </c>
      <c r="F37" s="110">
        <f>ROUNDUP(' AZUL 2'!F156,0)</f>
        <v>0</v>
      </c>
      <c r="G37" s="110">
        <f>ROUNDUP(' AZUL 2'!G156,0)</f>
        <v>2</v>
      </c>
      <c r="H37" s="110">
        <f>ROUNDUP(' AZUL 2'!H156,0)</f>
        <v>0</v>
      </c>
      <c r="I37" s="110">
        <f>ROUNDUP(' AZUL 2'!I156,0)</f>
        <v>0</v>
      </c>
      <c r="J37" s="110">
        <f>ROUNDUP(' AZUL 2'!J156,0)</f>
        <v>7</v>
      </c>
      <c r="K37" s="110">
        <f>ROUNDUP(' AZUL 2'!K156,0)</f>
        <v>4</v>
      </c>
      <c r="L37" s="110">
        <f>ROUNDUP(' AZUL 2'!L156,0)</f>
        <v>5</v>
      </c>
      <c r="M37" s="110">
        <f>ROUNDUP(' AZUL 2'!M156,0)</f>
        <v>0</v>
      </c>
      <c r="N37" s="110">
        <v>0</v>
      </c>
      <c r="O37" s="55"/>
      <c r="P37" s="55"/>
      <c r="Q37" s="33"/>
    </row>
    <row r="38" spans="1:17" ht="15.75" customHeight="1">
      <c r="A38" s="111" t="s">
        <v>114</v>
      </c>
      <c r="B38" s="110">
        <f>ROUNDUP(' AZUL 2'!B157,0)</f>
        <v>1</v>
      </c>
      <c r="C38" s="110">
        <f>ROUNDUP(' AZUL 2'!C157,0)</f>
        <v>0</v>
      </c>
      <c r="D38" s="110">
        <f>ROUNDUP(' AZUL 2'!D157,0)</f>
        <v>1</v>
      </c>
      <c r="E38" s="110">
        <f>ROUNDUP(' AZUL 2'!E157,0)</f>
        <v>2</v>
      </c>
      <c r="F38" s="110">
        <f>ROUNDUP(' AZUL 2'!F157,0)</f>
        <v>0</v>
      </c>
      <c r="G38" s="110">
        <f>ROUNDUP(' AZUL 2'!G157,0)</f>
        <v>1</v>
      </c>
      <c r="H38" s="110">
        <f>ROUNDUP(' AZUL 2'!H157,0)</f>
        <v>0</v>
      </c>
      <c r="I38" s="110">
        <f>ROUNDUP(' AZUL 2'!I157,0)</f>
        <v>0</v>
      </c>
      <c r="J38" s="110">
        <f>ROUNDUP(' AZUL 2'!J157,0)</f>
        <v>2</v>
      </c>
      <c r="K38" s="110">
        <f>ROUNDUP(' AZUL 2'!K157,0)</f>
        <v>1</v>
      </c>
      <c r="L38" s="110">
        <f>ROUNDUP(' AZUL 2'!L157,0)</f>
        <v>1</v>
      </c>
      <c r="M38" s="110">
        <f>ROUNDUP(' AZUL 2'!M157,0)</f>
        <v>0</v>
      </c>
      <c r="N38" s="110">
        <f>ROUNDUP(' AZUL 2'!N157,0)</f>
        <v>1</v>
      </c>
      <c r="O38" s="55"/>
      <c r="P38" s="55"/>
      <c r="Q38" s="33"/>
    </row>
    <row r="39" spans="1:17" ht="15.75" customHeight="1">
      <c r="A39" s="112" t="s">
        <v>205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4">
        <v>1</v>
      </c>
      <c r="M39" s="113"/>
      <c r="N39" s="113"/>
      <c r="O39" s="55"/>
      <c r="P39" s="55"/>
      <c r="Q39" s="33"/>
    </row>
    <row r="40" spans="1:17" ht="15.75" customHeight="1">
      <c r="A40" s="114" t="s">
        <v>206</v>
      </c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55"/>
      <c r="P40" s="55"/>
      <c r="Q40" s="33"/>
    </row>
    <row r="41" spans="1:17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33"/>
    </row>
    <row r="42" spans="1:17" ht="15.75" customHeight="1">
      <c r="A42" s="55"/>
      <c r="B42" s="151" t="s">
        <v>34</v>
      </c>
      <c r="C42" s="159" t="s">
        <v>35</v>
      </c>
      <c r="D42" s="151" t="s">
        <v>36</v>
      </c>
      <c r="E42" s="153" t="s">
        <v>37</v>
      </c>
      <c r="F42" s="151" t="s">
        <v>38</v>
      </c>
      <c r="G42" s="153" t="s">
        <v>39</v>
      </c>
      <c r="H42" s="153" t="s">
        <v>40</v>
      </c>
      <c r="I42" s="151" t="s">
        <v>41</v>
      </c>
      <c r="J42" s="151" t="s">
        <v>42</v>
      </c>
      <c r="K42" s="153" t="s">
        <v>43</v>
      </c>
      <c r="L42" s="151" t="s">
        <v>44</v>
      </c>
      <c r="M42" s="151" t="s">
        <v>45</v>
      </c>
      <c r="N42" s="153" t="s">
        <v>46</v>
      </c>
      <c r="O42" s="55"/>
      <c r="P42" s="55"/>
      <c r="Q42" s="33"/>
    </row>
    <row r="43" spans="1:17" ht="15.75" customHeight="1">
      <c r="A43" s="55"/>
      <c r="B43" s="19">
        <v>49</v>
      </c>
      <c r="C43" s="19">
        <v>230</v>
      </c>
      <c r="D43" s="19">
        <v>19</v>
      </c>
      <c r="E43" s="19">
        <v>38</v>
      </c>
      <c r="F43" s="19">
        <v>26</v>
      </c>
      <c r="G43" s="19">
        <v>5</v>
      </c>
      <c r="H43" s="19">
        <v>5</v>
      </c>
      <c r="I43" s="19">
        <v>8</v>
      </c>
      <c r="J43" s="19">
        <v>8</v>
      </c>
      <c r="K43" s="19">
        <v>7</v>
      </c>
      <c r="L43" s="19">
        <v>10</v>
      </c>
      <c r="M43" s="19">
        <v>17</v>
      </c>
      <c r="N43" s="19">
        <v>9</v>
      </c>
      <c r="O43" s="55"/>
      <c r="P43" s="55"/>
      <c r="Q43" s="33"/>
    </row>
    <row r="44" spans="1:17" ht="15.75" customHeight="1">
      <c r="A44" s="55"/>
      <c r="B44" s="19">
        <v>40</v>
      </c>
      <c r="C44" s="19">
        <v>115</v>
      </c>
      <c r="D44" s="19">
        <v>0</v>
      </c>
      <c r="E44" s="19">
        <v>0</v>
      </c>
      <c r="F44" s="19">
        <v>13</v>
      </c>
      <c r="G44" s="19">
        <v>1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3</v>
      </c>
      <c r="O44" s="55"/>
      <c r="P44" s="55"/>
      <c r="Q44" s="33"/>
    </row>
    <row r="45" spans="1:17" ht="15.75" customHeight="1">
      <c r="A45" s="22" t="s">
        <v>207</v>
      </c>
      <c r="B45" s="110">
        <v>0</v>
      </c>
      <c r="C45" s="110">
        <v>0</v>
      </c>
      <c r="D45" s="110">
        <v>0</v>
      </c>
      <c r="E45" s="110">
        <v>15</v>
      </c>
      <c r="F45" s="110">
        <f>ROUNDUP(' AZUL 2'!F164,0)</f>
        <v>18</v>
      </c>
      <c r="G45" s="110">
        <v>0</v>
      </c>
      <c r="H45" s="110">
        <v>0</v>
      </c>
      <c r="I45" s="110">
        <f>ROUNDUP(' AZUL 2'!I164,0)</f>
        <v>5</v>
      </c>
      <c r="J45" s="110">
        <f>ROUNDUP(' AZUL 2'!J164,0)</f>
        <v>5</v>
      </c>
      <c r="K45" s="110">
        <v>0</v>
      </c>
      <c r="L45" s="110">
        <f>ROUNDUP(' AZUL 2'!L164,0)</f>
        <v>6</v>
      </c>
      <c r="M45" s="110">
        <f>ROUNDUP(' AZUL 2'!M164,0)</f>
        <v>11</v>
      </c>
      <c r="N45" s="110">
        <v>0</v>
      </c>
      <c r="O45" s="55"/>
      <c r="P45" s="55"/>
      <c r="Q45" s="33"/>
    </row>
    <row r="46" spans="1:17" ht="15.75" customHeight="1">
      <c r="A46" s="22" t="s">
        <v>208</v>
      </c>
      <c r="B46" s="110">
        <f>ROUNDUP(' AZUL 2'!B165,0)</f>
        <v>2</v>
      </c>
      <c r="C46" s="110">
        <f>ROUNDUP(' AZUL 2'!C165,0)</f>
        <v>4</v>
      </c>
      <c r="D46" s="110">
        <f>ROUNDUP(' AZUL 2'!D165,0)</f>
        <v>1</v>
      </c>
      <c r="E46" s="110">
        <f>ROUNDUP(' AZUL 2'!E165,0)</f>
        <v>1</v>
      </c>
      <c r="F46" s="110">
        <f>ROUNDUP(' AZUL 2'!F165,0)</f>
        <v>1</v>
      </c>
      <c r="G46" s="110">
        <v>0</v>
      </c>
      <c r="H46" s="110">
        <v>0</v>
      </c>
      <c r="I46" s="110">
        <f>ROUNDUP(' AZUL 2'!I165,0)</f>
        <v>1</v>
      </c>
      <c r="J46" s="110">
        <f>ROUNDUP(' AZUL 2'!J165,0)</f>
        <v>1</v>
      </c>
      <c r="K46" s="110">
        <v>0</v>
      </c>
      <c r="L46" s="110">
        <v>0</v>
      </c>
      <c r="M46" s="110">
        <f>ROUNDUP(' AZUL 2'!M165,0)</f>
        <v>1</v>
      </c>
      <c r="N46" s="110">
        <f>ROUNDUP(' AZUL 2'!N165,0)</f>
        <v>1</v>
      </c>
      <c r="O46" s="55"/>
      <c r="P46" s="55"/>
      <c r="Q46" s="33"/>
    </row>
    <row r="47" spans="1:17" ht="15.75" customHeight="1">
      <c r="A47" s="22" t="s">
        <v>209</v>
      </c>
      <c r="B47" s="110">
        <v>0</v>
      </c>
      <c r="C47" s="110">
        <v>0</v>
      </c>
      <c r="D47" s="110">
        <f>ROUNDUP(' AZUL 2'!D166,0)</f>
        <v>2</v>
      </c>
      <c r="E47" s="110">
        <v>2</v>
      </c>
      <c r="F47" s="110">
        <f>ROUNDUP(' AZUL 2'!F166,0)</f>
        <v>2</v>
      </c>
      <c r="G47" s="110">
        <v>0</v>
      </c>
      <c r="H47" s="110">
        <v>0</v>
      </c>
      <c r="I47" s="110">
        <v>0</v>
      </c>
      <c r="J47" s="110">
        <f>ROUNDUP(' AZUL 2'!J166,0)</f>
        <v>1</v>
      </c>
      <c r="K47" s="110">
        <v>0</v>
      </c>
      <c r="L47" s="110">
        <v>0</v>
      </c>
      <c r="M47" s="110">
        <f>ROUNDUP(' AZUL 2'!M166,0)</f>
        <v>2</v>
      </c>
      <c r="N47" s="110">
        <v>0</v>
      </c>
      <c r="O47" s="55"/>
      <c r="P47" s="55"/>
      <c r="Q47" s="33"/>
    </row>
    <row r="48" spans="1:17" ht="15.75" customHeight="1">
      <c r="A48" s="22" t="s">
        <v>95</v>
      </c>
      <c r="B48" s="110">
        <f>ROUNDUP(' AZUL 2'!B167,0)</f>
        <v>3</v>
      </c>
      <c r="C48" s="110">
        <v>0</v>
      </c>
      <c r="D48" s="110">
        <v>0</v>
      </c>
      <c r="E48" s="110">
        <v>2</v>
      </c>
      <c r="F48" s="110">
        <f>ROUNDUP(' AZUL 2'!F167,0)</f>
        <v>2</v>
      </c>
      <c r="G48" s="110">
        <v>0</v>
      </c>
      <c r="H48" s="110">
        <v>0</v>
      </c>
      <c r="I48" s="110">
        <f>ROUNDUP(' AZUL 2'!I167,0)</f>
        <v>1</v>
      </c>
      <c r="J48" s="110">
        <f>ROUNDUP(' AZUL 2'!J167,0)</f>
        <v>1</v>
      </c>
      <c r="K48" s="110">
        <v>0</v>
      </c>
      <c r="L48" s="110">
        <v>0</v>
      </c>
      <c r="M48" s="110">
        <f>ROUNDUP(' AZUL 2'!M167,0)</f>
        <v>1</v>
      </c>
      <c r="N48" s="110">
        <v>0</v>
      </c>
      <c r="O48" s="55"/>
      <c r="P48" s="55"/>
      <c r="Q48" s="33"/>
    </row>
    <row r="49" spans="1:17" ht="15.75" customHeight="1">
      <c r="A49" s="22" t="s">
        <v>210</v>
      </c>
      <c r="B49" s="110">
        <v>0</v>
      </c>
      <c r="C49" s="110">
        <v>0</v>
      </c>
      <c r="D49" s="110">
        <f>ROUNDUP(' AZUL 2'!D168,0)</f>
        <v>2</v>
      </c>
      <c r="E49" s="110">
        <v>2</v>
      </c>
      <c r="F49" s="110">
        <f>ROUNDUP(' AZUL 2'!F168,0)</f>
        <v>2</v>
      </c>
      <c r="G49" s="110">
        <v>0</v>
      </c>
      <c r="H49" s="110">
        <v>0</v>
      </c>
      <c r="I49" s="110">
        <v>0</v>
      </c>
      <c r="J49" s="110">
        <f>ROUNDUP(' AZUL 2'!J168,0)</f>
        <v>1</v>
      </c>
      <c r="K49" s="110">
        <v>0</v>
      </c>
      <c r="L49" s="110">
        <f>ROUNDUP(' AZUL 2'!L168,0)</f>
        <v>1</v>
      </c>
      <c r="M49" s="110">
        <f>ROUNDUP(' AZUL 2'!M168,0)</f>
        <v>2</v>
      </c>
      <c r="N49" s="110">
        <f>ROUNDUP(' AZUL 2'!N168,0)</f>
        <v>1</v>
      </c>
      <c r="O49" s="55"/>
      <c r="P49" s="55"/>
      <c r="Q49" s="33"/>
    </row>
    <row r="50" spans="1:17" ht="15.75" customHeight="1">
      <c r="A50" s="22" t="s">
        <v>211</v>
      </c>
      <c r="B50" s="110">
        <v>0</v>
      </c>
      <c r="C50" s="110">
        <v>0</v>
      </c>
      <c r="D50" s="110">
        <f>ROUNDUP(' AZUL 2'!D169,0)</f>
        <v>1</v>
      </c>
      <c r="E50" s="110">
        <f>ROUNDUP(' AZUL 2'!E169,0)</f>
        <v>1</v>
      </c>
      <c r="F50" s="110">
        <v>0</v>
      </c>
      <c r="G50" s="110">
        <v>0</v>
      </c>
      <c r="H50" s="110">
        <v>0</v>
      </c>
      <c r="I50" s="110">
        <f>ROUNDUP(' AZUL 2'!I169,0)</f>
        <v>1</v>
      </c>
      <c r="J50" s="110">
        <f>ROUNDUP(' AZUL 2'!J169,0)</f>
        <v>1</v>
      </c>
      <c r="K50" s="110">
        <v>0</v>
      </c>
      <c r="L50" s="110">
        <v>0</v>
      </c>
      <c r="M50" s="110">
        <v>0</v>
      </c>
      <c r="N50" s="110">
        <v>0</v>
      </c>
      <c r="O50" s="55"/>
      <c r="P50" s="55"/>
      <c r="Q50" s="33"/>
    </row>
    <row r="51" spans="1:17" ht="15.75" customHeight="1">
      <c r="A51" s="22" t="s">
        <v>98</v>
      </c>
      <c r="B51" s="110">
        <f>ROUNDUP(' AZUL 2'!B170,0)</f>
        <v>2</v>
      </c>
      <c r="C51" s="110">
        <f>ROUNDUP(' AZUL 2'!C170,0)</f>
        <v>6</v>
      </c>
      <c r="D51" s="110">
        <f>ROUNDUP(' AZUL 2'!D170,0)</f>
        <v>0</v>
      </c>
      <c r="E51" s="110">
        <f>ROUNDUP(' AZUL 2'!E170,0)</f>
        <v>0</v>
      </c>
      <c r="F51" s="110">
        <f>ROUNDUP(' AZUL 2'!F170,0)</f>
        <v>1</v>
      </c>
      <c r="G51" s="110">
        <v>0</v>
      </c>
      <c r="H51" s="110">
        <v>0</v>
      </c>
      <c r="I51" s="110">
        <f>ROUNDUP(' AZUL 2'!I170,0)</f>
        <v>0</v>
      </c>
      <c r="J51" s="110">
        <f>ROUNDUP(' AZUL 2'!J170,0)</f>
        <v>0</v>
      </c>
      <c r="K51" s="110">
        <v>0</v>
      </c>
      <c r="L51" s="110">
        <f>ROUNDUP(' AZUL 2'!L170,0)</f>
        <v>0</v>
      </c>
      <c r="M51" s="110">
        <f>ROUNDUP(' AZUL 2'!M170,0)</f>
        <v>0</v>
      </c>
      <c r="N51" s="110">
        <f>ROUNDUP(' AZUL 2'!N170,0)</f>
        <v>1</v>
      </c>
      <c r="O51" s="55"/>
      <c r="P51" s="55"/>
      <c r="Q51" s="33"/>
    </row>
    <row r="52" spans="1:17" ht="15.75" customHeight="1">
      <c r="A52" s="22" t="s">
        <v>212</v>
      </c>
      <c r="B52" s="110">
        <v>0</v>
      </c>
      <c r="C52" s="110">
        <v>0</v>
      </c>
      <c r="D52" s="110">
        <f>ROUNDUP(' AZUL 2'!D171,0)</f>
        <v>0</v>
      </c>
      <c r="E52" s="110">
        <f>ROUNDUP(' AZUL 2'!E171,0)</f>
        <v>0</v>
      </c>
      <c r="F52" s="110">
        <f>ROUNDUP(' AZUL 2'!F171,0)</f>
        <v>1</v>
      </c>
      <c r="G52" s="110">
        <v>0</v>
      </c>
      <c r="H52" s="110">
        <f>ROUNDUP(' AZUL 2'!H171,0)</f>
        <v>0</v>
      </c>
      <c r="I52" s="110">
        <f>ROUNDUP(' AZUL 2'!I171,0)</f>
        <v>0</v>
      </c>
      <c r="J52" s="110">
        <f>ROUNDUP(' AZUL 2'!J171,0)</f>
        <v>0</v>
      </c>
      <c r="K52" s="110">
        <v>0</v>
      </c>
      <c r="L52" s="110">
        <f>ROUNDUP(' AZUL 2'!L171,0)</f>
        <v>0</v>
      </c>
      <c r="M52" s="110">
        <f>ROUNDUP(' AZUL 2'!M171,0)</f>
        <v>0</v>
      </c>
      <c r="N52" s="110">
        <v>0</v>
      </c>
      <c r="O52" s="55"/>
      <c r="P52" s="55"/>
      <c r="Q52" s="33"/>
    </row>
    <row r="53" spans="1:17" ht="15.75" customHeight="1">
      <c r="A53" s="22" t="s">
        <v>213</v>
      </c>
      <c r="B53" s="110">
        <v>0</v>
      </c>
      <c r="C53" s="110">
        <v>0</v>
      </c>
      <c r="D53" s="110">
        <f>ROUNDUP(' AZUL 2'!D172,0)</f>
        <v>0</v>
      </c>
      <c r="E53" s="110">
        <f>ROUNDUP(' AZUL 2'!E172,0)</f>
        <v>0</v>
      </c>
      <c r="F53" s="110">
        <f>ROUNDUP(' AZUL 2'!F172,0)</f>
        <v>2</v>
      </c>
      <c r="G53" s="110">
        <v>0</v>
      </c>
      <c r="H53" s="110">
        <f>ROUNDUP(' AZUL 2'!H172,0)</f>
        <v>0</v>
      </c>
      <c r="I53" s="110">
        <f>ROUNDUP(' AZUL 2'!I172,0)</f>
        <v>0</v>
      </c>
      <c r="J53" s="110">
        <f>ROUNDUP(' AZUL 2'!J172,0)</f>
        <v>0</v>
      </c>
      <c r="K53" s="110">
        <v>0</v>
      </c>
      <c r="L53" s="110">
        <f>ROUNDUP(' AZUL 2'!L172,0)</f>
        <v>0</v>
      </c>
      <c r="M53" s="110">
        <f>ROUNDUP(' AZUL 2'!M172,0)</f>
        <v>0</v>
      </c>
      <c r="N53" s="110">
        <v>0</v>
      </c>
      <c r="O53" s="55"/>
      <c r="P53" s="55"/>
      <c r="Q53" s="33"/>
    </row>
    <row r="54" spans="1:17" ht="15.75" customHeight="1">
      <c r="A54" s="22" t="s">
        <v>214</v>
      </c>
      <c r="B54" s="110">
        <v>0</v>
      </c>
      <c r="C54" s="110">
        <f>ROUNDUP(' AZUL 2'!C173,0)</f>
        <v>0</v>
      </c>
      <c r="D54" s="110">
        <f>ROUNDUP(' AZUL 2'!D173,0)</f>
        <v>0</v>
      </c>
      <c r="E54" s="110">
        <f>ROUNDUP(' AZUL 2'!E173,0)</f>
        <v>0</v>
      </c>
      <c r="F54" s="110">
        <f>ROUNDUP(' AZUL 2'!F173,0)</f>
        <v>0</v>
      </c>
      <c r="G54" s="110">
        <v>0</v>
      </c>
      <c r="H54" s="110">
        <f>ROUNDUP(' AZUL 2'!H173,0)</f>
        <v>0</v>
      </c>
      <c r="I54" s="110">
        <f>ROUNDUP(' AZUL 2'!I173,0)</f>
        <v>0</v>
      </c>
      <c r="J54" s="110">
        <f>ROUNDUP(' AZUL 2'!J173,0)</f>
        <v>0</v>
      </c>
      <c r="K54" s="110">
        <f>ROUNDUP(' AZUL 2'!K173,0)</f>
        <v>0</v>
      </c>
      <c r="L54" s="110">
        <f>ROUNDUP(' AZUL 2'!L173,0)</f>
        <v>0</v>
      </c>
      <c r="M54" s="110">
        <f>ROUNDUP(' AZUL 2'!M173,0)</f>
        <v>0</v>
      </c>
      <c r="N54" s="110">
        <v>0</v>
      </c>
      <c r="O54" s="55"/>
      <c r="P54" s="55"/>
      <c r="Q54" s="33"/>
    </row>
    <row r="55" spans="1:17" ht="15.75" customHeight="1">
      <c r="A55" s="22" t="s">
        <v>215</v>
      </c>
      <c r="B55" s="110">
        <v>0</v>
      </c>
      <c r="C55" s="110">
        <f>ROUNDUP(' AZUL 2'!C174,0)</f>
        <v>14</v>
      </c>
      <c r="D55" s="110">
        <f>ROUNDUP(' AZUL 2'!D174,0)</f>
        <v>0</v>
      </c>
      <c r="E55" s="110">
        <f>ROUNDUP(' AZUL 2'!E174,0)</f>
        <v>0</v>
      </c>
      <c r="F55" s="110">
        <f>ROUNDUP(' AZUL 2'!F174,0)</f>
        <v>2</v>
      </c>
      <c r="G55" s="110">
        <v>0</v>
      </c>
      <c r="H55" s="110">
        <f>ROUNDUP(' AZUL 2'!H174,0)</f>
        <v>0</v>
      </c>
      <c r="I55" s="110">
        <f>ROUNDUP(' AZUL 2'!I174,0)</f>
        <v>0</v>
      </c>
      <c r="J55" s="110">
        <f>ROUNDUP(' AZUL 2'!J174,0)</f>
        <v>0</v>
      </c>
      <c r="K55" s="110">
        <f>ROUNDUP(' AZUL 2'!K174,0)</f>
        <v>0</v>
      </c>
      <c r="L55" s="110">
        <f>ROUNDUP(' AZUL 2'!L174,0)</f>
        <v>0</v>
      </c>
      <c r="M55" s="110">
        <f>ROUNDUP(' AZUL 2'!M174,0)</f>
        <v>0</v>
      </c>
      <c r="N55" s="110">
        <v>0</v>
      </c>
      <c r="O55" s="55"/>
      <c r="P55" s="55"/>
      <c r="Q55" s="33"/>
    </row>
    <row r="56" spans="1:17" ht="15.75" customHeight="1">
      <c r="A56" s="22" t="s">
        <v>216</v>
      </c>
      <c r="B56" s="110">
        <v>0</v>
      </c>
      <c r="C56" s="110">
        <f>ROUNDUP(' AZUL 2'!C175,0)</f>
        <v>0</v>
      </c>
      <c r="D56" s="110">
        <f>ROUNDUP(' AZUL 2'!D175,0)</f>
        <v>0</v>
      </c>
      <c r="E56" s="110">
        <f>ROUNDUP(' AZUL 2'!E175,0)</f>
        <v>0</v>
      </c>
      <c r="F56" s="110">
        <f>ROUNDUP(' AZUL 2'!F175,0)</f>
        <v>0</v>
      </c>
      <c r="G56" s="110">
        <v>0</v>
      </c>
      <c r="H56" s="110">
        <f>ROUNDUP(' AZUL 2'!H175,0)</f>
        <v>0</v>
      </c>
      <c r="I56" s="110">
        <f>ROUNDUP(' AZUL 2'!I175,0)</f>
        <v>0</v>
      </c>
      <c r="J56" s="110">
        <f>ROUNDUP(' AZUL 2'!J175,0)</f>
        <v>0</v>
      </c>
      <c r="K56" s="110">
        <f>ROUNDUP(' AZUL 2'!K175,0)</f>
        <v>0</v>
      </c>
      <c r="L56" s="110">
        <f>ROUNDUP(' AZUL 2'!L175,0)</f>
        <v>0</v>
      </c>
      <c r="M56" s="110">
        <f>ROUNDUP(' AZUL 2'!M175,0)</f>
        <v>0</v>
      </c>
      <c r="N56" s="110">
        <v>0</v>
      </c>
      <c r="O56" s="55"/>
      <c r="P56" s="55"/>
      <c r="Q56" s="33"/>
    </row>
    <row r="57" spans="1:17" ht="15.75" customHeight="1">
      <c r="A57" s="22" t="s">
        <v>217</v>
      </c>
      <c r="B57" s="110">
        <f>ROUNDUP(' AZUL 2'!B176,0)</f>
        <v>0</v>
      </c>
      <c r="C57" s="110">
        <f>ROUNDUP(' AZUL 2'!C176,0)</f>
        <v>0</v>
      </c>
      <c r="D57" s="110">
        <f>ROUNDUP(' AZUL 2'!D176,0)</f>
        <v>0</v>
      </c>
      <c r="E57" s="110">
        <f>ROUNDUP(' AZUL 2'!E176,0)</f>
        <v>0</v>
      </c>
      <c r="F57" s="110">
        <f>ROUNDUP(' AZUL 2'!F176,0)</f>
        <v>0</v>
      </c>
      <c r="G57" s="110">
        <v>0</v>
      </c>
      <c r="H57" s="110">
        <f>ROUNDUP(' AZUL 2'!H176,0)</f>
        <v>0</v>
      </c>
      <c r="I57" s="110">
        <f>ROUNDUP(' AZUL 2'!I176,0)</f>
        <v>0</v>
      </c>
      <c r="J57" s="110">
        <f>ROUNDUP(' AZUL 2'!J176,0)</f>
        <v>0</v>
      </c>
      <c r="K57" s="110">
        <f>ROUNDUP(' AZUL 2'!K176,0)</f>
        <v>0</v>
      </c>
      <c r="L57" s="110">
        <f>ROUNDUP(' AZUL 2'!L176,0)</f>
        <v>0</v>
      </c>
      <c r="M57" s="110">
        <f>ROUNDUP(' AZUL 2'!M176,0)</f>
        <v>0</v>
      </c>
      <c r="N57" s="110">
        <v>0</v>
      </c>
      <c r="O57" s="55"/>
      <c r="P57" s="55"/>
      <c r="Q57" s="33"/>
    </row>
    <row r="58" spans="1:17" ht="15.75" customHeight="1">
      <c r="A58" s="22" t="s">
        <v>105</v>
      </c>
      <c r="B58" s="110">
        <f>ROUNDUP(' AZUL 2'!B177,0)</f>
        <v>0</v>
      </c>
      <c r="C58" s="110">
        <f>ROUNDUP(' AZUL 2'!C177,0)</f>
        <v>0</v>
      </c>
      <c r="D58" s="110">
        <f>ROUNDUP(' AZUL 2'!D177,0)</f>
        <v>0</v>
      </c>
      <c r="E58" s="110">
        <f>ROUNDUP(' AZUL 2'!E177,0)</f>
        <v>0</v>
      </c>
      <c r="F58" s="110">
        <f>ROUNDUP(' AZUL 2'!F177,0)</f>
        <v>0</v>
      </c>
      <c r="G58" s="110">
        <v>0</v>
      </c>
      <c r="H58" s="110">
        <f>ROUNDUP(' AZUL 2'!H177,0)</f>
        <v>0</v>
      </c>
      <c r="I58" s="110">
        <f>ROUNDUP(' AZUL 2'!I177,0)</f>
        <v>0</v>
      </c>
      <c r="J58" s="110">
        <f>ROUNDUP(' AZUL 2'!J177,0)</f>
        <v>0</v>
      </c>
      <c r="K58" s="110">
        <f>ROUNDUP(' AZUL 2'!K177,0)</f>
        <v>0</v>
      </c>
      <c r="L58" s="110">
        <f>ROUNDUP(' AZUL 2'!L177,0)</f>
        <v>0</v>
      </c>
      <c r="M58" s="110">
        <f>ROUNDUP(' AZUL 2'!M177,0)</f>
        <v>0</v>
      </c>
      <c r="N58" s="110">
        <v>0</v>
      </c>
      <c r="O58" s="55"/>
      <c r="P58" s="55"/>
      <c r="Q58" s="33"/>
    </row>
    <row r="59" spans="1:17" ht="15.75" customHeight="1">
      <c r="A59" s="22" t="s">
        <v>218</v>
      </c>
      <c r="B59" s="110">
        <v>0</v>
      </c>
      <c r="C59" s="110">
        <f>ROUNDUP(' AZUL 2'!C178,0)</f>
        <v>1</v>
      </c>
      <c r="D59" s="110">
        <f>ROUNDUP(' AZUL 2'!D178,0)</f>
        <v>0</v>
      </c>
      <c r="E59" s="110">
        <f>ROUNDUP(' AZUL 2'!E178,0)</f>
        <v>0</v>
      </c>
      <c r="F59" s="110">
        <v>0</v>
      </c>
      <c r="G59" s="110">
        <v>0</v>
      </c>
      <c r="H59" s="110">
        <f>ROUNDUP(' AZUL 2'!H178,0)</f>
        <v>0</v>
      </c>
      <c r="I59" s="110">
        <f>ROUNDUP(' AZUL 2'!I178,0)</f>
        <v>0</v>
      </c>
      <c r="J59" s="110">
        <f>ROUNDUP(' AZUL 2'!J178,0)</f>
        <v>0</v>
      </c>
      <c r="K59" s="110">
        <f>ROUNDUP(' AZUL 2'!K178,0)</f>
        <v>0</v>
      </c>
      <c r="L59" s="110">
        <f>ROUNDUP(' AZUL 2'!L178,0)</f>
        <v>0</v>
      </c>
      <c r="M59" s="110">
        <f>ROUNDUP(' AZUL 2'!M178,0)</f>
        <v>0</v>
      </c>
      <c r="N59" s="110">
        <v>0</v>
      </c>
      <c r="O59" s="55"/>
      <c r="P59" s="55"/>
      <c r="Q59" s="33"/>
    </row>
    <row r="60" spans="1:17" ht="15.75" customHeight="1">
      <c r="A60" s="22" t="s">
        <v>219</v>
      </c>
      <c r="B60" s="110">
        <v>0</v>
      </c>
      <c r="C60" s="110">
        <v>0</v>
      </c>
      <c r="D60" s="110">
        <f>ROUNDUP(' AZUL 2'!D179,0)</f>
        <v>0</v>
      </c>
      <c r="E60" s="110">
        <f>ROUNDUP(' AZUL 2'!E179,0)</f>
        <v>0</v>
      </c>
      <c r="F60" s="110">
        <f>ROUNDUP(' AZUL 2'!F179,0)</f>
        <v>2</v>
      </c>
      <c r="G60" s="110">
        <v>0</v>
      </c>
      <c r="H60" s="110">
        <f>ROUNDUP(' AZUL 2'!H179,0)</f>
        <v>0</v>
      </c>
      <c r="I60" s="110">
        <f>ROUNDUP(' AZUL 2'!I179,0)</f>
        <v>0</v>
      </c>
      <c r="J60" s="110">
        <f>ROUNDUP(' AZUL 2'!J179,0)</f>
        <v>0</v>
      </c>
      <c r="K60" s="110">
        <f>ROUNDUP(' AZUL 2'!K179,0)</f>
        <v>0</v>
      </c>
      <c r="L60" s="110">
        <f>ROUNDUP(' AZUL 2'!L179,0)</f>
        <v>0</v>
      </c>
      <c r="M60" s="110">
        <f>ROUNDUP(' AZUL 2'!M179,0)</f>
        <v>0</v>
      </c>
      <c r="N60" s="110">
        <v>0</v>
      </c>
      <c r="O60" s="55"/>
      <c r="P60" s="55"/>
      <c r="Q60" s="33"/>
    </row>
    <row r="61" spans="1:17" ht="15.75" customHeight="1">
      <c r="A61" s="22" t="s">
        <v>108</v>
      </c>
      <c r="B61" s="110">
        <f>ROUNDUP(' AZUL 2'!B180,0)</f>
        <v>4</v>
      </c>
      <c r="C61" s="110">
        <v>0</v>
      </c>
      <c r="D61" s="110">
        <f>ROUNDUP(' AZUL 2'!D180,0)</f>
        <v>0</v>
      </c>
      <c r="E61" s="110">
        <f>ROUNDUP(' AZUL 2'!E180,0)</f>
        <v>0</v>
      </c>
      <c r="F61" s="110">
        <f>ROUNDUP(' AZUL 2'!F180,0)</f>
        <v>2</v>
      </c>
      <c r="G61" s="110">
        <v>0</v>
      </c>
      <c r="H61" s="110">
        <f>ROUNDUP(' AZUL 2'!H180,0)</f>
        <v>0</v>
      </c>
      <c r="I61" s="110">
        <f>ROUNDUP(' AZUL 2'!I180,0)</f>
        <v>0</v>
      </c>
      <c r="J61" s="110">
        <f>ROUNDUP(' AZUL 2'!J180,0)</f>
        <v>0</v>
      </c>
      <c r="K61" s="110">
        <f>ROUNDUP(' AZUL 2'!K180,0)</f>
        <v>0</v>
      </c>
      <c r="L61" s="110">
        <f>ROUNDUP(' AZUL 2'!L180,0)</f>
        <v>0</v>
      </c>
      <c r="M61" s="110">
        <f>ROUNDUP(' AZUL 2'!M180,0)</f>
        <v>0</v>
      </c>
      <c r="N61" s="110">
        <f>ROUNDUP(' AZUL 2'!N180,0)</f>
        <v>1</v>
      </c>
      <c r="O61" s="55"/>
      <c r="P61" s="55"/>
      <c r="Q61" s="33"/>
    </row>
    <row r="62" spans="1:17" ht="15.75" customHeight="1">
      <c r="A62" s="111" t="s">
        <v>109</v>
      </c>
      <c r="B62" s="110">
        <v>0</v>
      </c>
      <c r="C62" s="110">
        <v>0</v>
      </c>
      <c r="D62" s="110">
        <f>ROUNDUP(' AZUL 2'!D181,0)</f>
        <v>0</v>
      </c>
      <c r="E62" s="110">
        <f>ROUNDUP(' AZUL 2'!E181,0)</f>
        <v>0</v>
      </c>
      <c r="F62" s="110">
        <f>ROUNDUP(' AZUL 2'!F181,0)</f>
        <v>1</v>
      </c>
      <c r="G62" s="110">
        <v>0</v>
      </c>
      <c r="H62" s="110">
        <f>ROUNDUP(' AZUL 2'!H181,0)</f>
        <v>0</v>
      </c>
      <c r="I62" s="110">
        <f>ROUNDUP(' AZUL 2'!I181,0)</f>
        <v>0</v>
      </c>
      <c r="J62" s="110">
        <f>ROUNDUP(' AZUL 2'!J181,0)</f>
        <v>0</v>
      </c>
      <c r="K62" s="110">
        <f>ROUNDUP(' AZUL 2'!K181,0)</f>
        <v>0</v>
      </c>
      <c r="L62" s="110">
        <f>ROUNDUP(' AZUL 2'!L181,0)</f>
        <v>0</v>
      </c>
      <c r="M62" s="110">
        <f>ROUNDUP(' AZUL 2'!M181,0)</f>
        <v>0</v>
      </c>
      <c r="N62" s="110">
        <f>ROUNDUP(' AZUL 2'!N181,0)</f>
        <v>1</v>
      </c>
      <c r="O62" s="55"/>
      <c r="P62" s="55"/>
      <c r="Q62" s="33"/>
    </row>
    <row r="63" spans="1:17" ht="15.75" customHeight="1">
      <c r="A63" s="111" t="s">
        <v>110</v>
      </c>
      <c r="B63" s="110">
        <v>0</v>
      </c>
      <c r="C63" s="110">
        <v>0</v>
      </c>
      <c r="D63" s="110">
        <f>ROUNDUP(' AZUL 2'!D182,0)</f>
        <v>0</v>
      </c>
      <c r="E63" s="110">
        <f>ROUNDUP(' AZUL 2'!E182,0)</f>
        <v>0</v>
      </c>
      <c r="F63" s="110">
        <f>ROUNDUP(' AZUL 2'!F182,0)</f>
        <v>1</v>
      </c>
      <c r="G63" s="110">
        <v>0</v>
      </c>
      <c r="H63" s="110">
        <f>ROUNDUP(' AZUL 2'!H182,0)</f>
        <v>0</v>
      </c>
      <c r="I63" s="110">
        <f>ROUNDUP(' AZUL 2'!I182,0)</f>
        <v>0</v>
      </c>
      <c r="J63" s="110">
        <f>ROUNDUP(' AZUL 2'!J182,0)</f>
        <v>0</v>
      </c>
      <c r="K63" s="110">
        <f>ROUNDUP(' AZUL 2'!K182,0)</f>
        <v>0</v>
      </c>
      <c r="L63" s="110">
        <f>ROUNDUP(' AZUL 2'!L182,0)</f>
        <v>0</v>
      </c>
      <c r="M63" s="110">
        <f>ROUNDUP(' AZUL 2'!M182,0)</f>
        <v>0</v>
      </c>
      <c r="N63" s="110">
        <v>0</v>
      </c>
      <c r="O63" s="55"/>
      <c r="P63" s="55"/>
      <c r="Q63" s="33"/>
    </row>
    <row r="64" spans="1:17" ht="15.75" customHeight="1">
      <c r="A64" s="111" t="s">
        <v>111</v>
      </c>
      <c r="B64" s="110">
        <v>0</v>
      </c>
      <c r="C64" s="110">
        <v>0</v>
      </c>
      <c r="D64" s="110">
        <f>ROUNDUP(' AZUL 2'!D183,0)</f>
        <v>0</v>
      </c>
      <c r="E64" s="110">
        <f>ROUNDUP(' AZUL 2'!E183,0)</f>
        <v>0</v>
      </c>
      <c r="F64" s="110">
        <f>ROUNDUP(' AZUL 2'!F183,0)</f>
        <v>0</v>
      </c>
      <c r="G64" s="110">
        <v>0</v>
      </c>
      <c r="H64" s="110">
        <f>ROUNDUP(' AZUL 2'!H183,0)</f>
        <v>0</v>
      </c>
      <c r="I64" s="110">
        <f>ROUNDUP(' AZUL 2'!I183,0)</f>
        <v>0</v>
      </c>
      <c r="J64" s="110">
        <f>ROUNDUP(' AZUL 2'!J183,0)</f>
        <v>0</v>
      </c>
      <c r="K64" s="110">
        <f>ROUNDUP(' AZUL 2'!K183,0)</f>
        <v>0</v>
      </c>
      <c r="L64" s="110">
        <f>ROUNDUP(' AZUL 2'!L183,0)</f>
        <v>0</v>
      </c>
      <c r="M64" s="110">
        <f>ROUNDUP(' AZUL 2'!M183,0)</f>
        <v>0</v>
      </c>
      <c r="N64" s="110">
        <v>0</v>
      </c>
      <c r="O64" s="55"/>
      <c r="P64" s="55"/>
      <c r="Q64" s="33"/>
    </row>
    <row r="65" spans="1:17" ht="15.75" customHeight="1">
      <c r="A65" s="111" t="s">
        <v>112</v>
      </c>
      <c r="B65" s="110">
        <v>0</v>
      </c>
      <c r="C65" s="110">
        <f>ROUNDUP(' AZUL 2'!C184,0)</f>
        <v>6</v>
      </c>
      <c r="D65" s="110">
        <f>ROUNDUP(' AZUL 2'!D184,0)</f>
        <v>0</v>
      </c>
      <c r="E65" s="110">
        <f>ROUNDUP(' AZUL 2'!E184,0)</f>
        <v>0</v>
      </c>
      <c r="F65" s="110">
        <f>ROUNDUP(' AZUL 2'!F184,0)</f>
        <v>1</v>
      </c>
      <c r="G65" s="110">
        <v>0</v>
      </c>
      <c r="H65" s="110">
        <f>ROUNDUP(' AZUL 2'!H184,0)</f>
        <v>0</v>
      </c>
      <c r="I65" s="110">
        <f>ROUNDUP(' AZUL 2'!I184,0)</f>
        <v>0</v>
      </c>
      <c r="J65" s="110">
        <f>ROUNDUP(' AZUL 2'!J184,0)</f>
        <v>0</v>
      </c>
      <c r="K65" s="110">
        <f>ROUNDUP(' AZUL 2'!K184,0)</f>
        <v>0</v>
      </c>
      <c r="L65" s="110">
        <f>ROUNDUP(' AZUL 2'!L184,0)</f>
        <v>0</v>
      </c>
      <c r="M65" s="110">
        <f>ROUNDUP(' AZUL 2'!M184,0)</f>
        <v>0</v>
      </c>
      <c r="N65" s="110">
        <f>ROUNDUP(' AZUL 2'!N184,0)</f>
        <v>1</v>
      </c>
      <c r="O65" s="55"/>
      <c r="P65" s="55"/>
      <c r="Q65" s="33"/>
    </row>
    <row r="66" spans="1:17" ht="15.75" customHeight="1">
      <c r="A66" s="111" t="s">
        <v>113</v>
      </c>
      <c r="B66" s="110">
        <f>ROUNDUP(' AZUL 2'!B185,0)</f>
        <v>3</v>
      </c>
      <c r="C66" s="110">
        <f>ROUNDUP(' AZUL 2'!C185,0)</f>
        <v>9</v>
      </c>
      <c r="D66" s="110">
        <f>ROUNDUP(' AZUL 2'!D185,0)</f>
        <v>0</v>
      </c>
      <c r="E66" s="110">
        <f>ROUNDUP(' AZUL 2'!E185,0)</f>
        <v>0</v>
      </c>
      <c r="F66" s="110">
        <f>ROUNDUP(' AZUL 2'!F185,0)</f>
        <v>1</v>
      </c>
      <c r="G66" s="110">
        <v>0</v>
      </c>
      <c r="H66" s="110">
        <f>ROUNDUP(' AZUL 2'!H185,0)</f>
        <v>0</v>
      </c>
      <c r="I66" s="110">
        <f>ROUNDUP(' AZUL 2'!I185,0)</f>
        <v>0</v>
      </c>
      <c r="J66" s="110">
        <f>ROUNDUP(' AZUL 2'!J185,0)</f>
        <v>0</v>
      </c>
      <c r="K66" s="110">
        <f>ROUNDUP(' AZUL 2'!K185,0)</f>
        <v>0</v>
      </c>
      <c r="L66" s="110">
        <f>ROUNDUP(' AZUL 2'!L185,0)</f>
        <v>0</v>
      </c>
      <c r="M66" s="110">
        <f>ROUNDUP(' AZUL 2'!M185,0)</f>
        <v>0</v>
      </c>
      <c r="N66" s="110">
        <f>ROUNDUP(' AZUL 2'!N185,0)</f>
        <v>1</v>
      </c>
      <c r="O66" s="55"/>
      <c r="P66" s="55"/>
      <c r="Q66" s="33"/>
    </row>
    <row r="67" spans="1:17" ht="15.75" customHeight="1">
      <c r="A67" s="111" t="s">
        <v>114</v>
      </c>
      <c r="B67" s="110">
        <f>ROUNDUP(' AZUL 2'!B186,0)</f>
        <v>1</v>
      </c>
      <c r="C67" s="110">
        <f>ROUNDUP(' AZUL 2'!C186,0)</f>
        <v>3</v>
      </c>
      <c r="D67" s="110">
        <f>ROUNDUP(' AZUL 2'!D186,0)</f>
        <v>0</v>
      </c>
      <c r="E67" s="110">
        <f>ROUNDUP(' AZUL 2'!E186,0)</f>
        <v>0</v>
      </c>
      <c r="F67" s="110">
        <f>ROUNDUP(' AZUL 2'!F186,0)</f>
        <v>1</v>
      </c>
      <c r="G67" s="110">
        <v>0</v>
      </c>
      <c r="H67" s="110">
        <f>ROUNDUP(' AZUL 2'!H186,0)</f>
        <v>0</v>
      </c>
      <c r="I67" s="110">
        <f>ROUNDUP(' AZUL 2'!I186,0)</f>
        <v>0</v>
      </c>
      <c r="J67" s="110">
        <f>ROUNDUP(' AZUL 2'!J186,0)</f>
        <v>0</v>
      </c>
      <c r="K67" s="110">
        <f>ROUNDUP(' AZUL 2'!K186,0)</f>
        <v>0</v>
      </c>
      <c r="L67" s="110">
        <f>ROUNDUP(' AZUL 2'!L186,0)</f>
        <v>0</v>
      </c>
      <c r="M67" s="110">
        <f>ROUNDUP(' AZUL 2'!M186,0)</f>
        <v>0</v>
      </c>
      <c r="N67" s="110">
        <f>ROUNDUP(' AZUL 2'!N186,0)</f>
        <v>1</v>
      </c>
      <c r="O67" s="55"/>
      <c r="P67" s="55"/>
      <c r="Q67" s="33"/>
    </row>
    <row r="68" spans="1:17" ht="15.75" customHeight="1">
      <c r="A68" s="112" t="s">
        <v>205</v>
      </c>
      <c r="B68" s="113"/>
      <c r="C68" s="113"/>
      <c r="D68" s="113"/>
      <c r="E68" s="113"/>
      <c r="F68" s="113"/>
      <c r="G68" s="113">
        <v>0</v>
      </c>
      <c r="H68" s="113"/>
      <c r="I68" s="113"/>
      <c r="J68" s="113"/>
      <c r="K68" s="113"/>
      <c r="L68" s="113"/>
      <c r="M68" s="113"/>
      <c r="N68" s="113"/>
      <c r="O68" s="55"/>
      <c r="P68" s="55"/>
      <c r="Q68" s="33"/>
    </row>
    <row r="69" spans="1:17" ht="15.75" customHeight="1">
      <c r="A69" s="114" t="s">
        <v>206</v>
      </c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55"/>
      <c r="P69" s="55"/>
      <c r="Q69" s="33"/>
    </row>
    <row r="70" spans="1:17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33"/>
    </row>
    <row r="71" spans="1:17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33"/>
    </row>
    <row r="72" spans="1:17" ht="15.75" customHeight="1">
      <c r="A72" s="55"/>
      <c r="B72" s="151" t="s">
        <v>47</v>
      </c>
      <c r="C72" s="151" t="s">
        <v>48</v>
      </c>
      <c r="D72" s="151" t="s">
        <v>49</v>
      </c>
      <c r="E72" s="151" t="s">
        <v>50</v>
      </c>
      <c r="F72" s="151" t="s">
        <v>51</v>
      </c>
      <c r="G72" s="151" t="s">
        <v>52</v>
      </c>
      <c r="H72" s="151" t="s">
        <v>53</v>
      </c>
      <c r="I72" s="26" t="s">
        <v>54</v>
      </c>
      <c r="J72" s="26" t="s">
        <v>54</v>
      </c>
      <c r="K72" s="151" t="s">
        <v>55</v>
      </c>
      <c r="L72" s="151" t="s">
        <v>56</v>
      </c>
      <c r="M72" s="151" t="s">
        <v>56</v>
      </c>
      <c r="N72" s="159" t="s">
        <v>57</v>
      </c>
      <c r="O72" s="55"/>
      <c r="P72" s="55"/>
      <c r="Q72" s="33"/>
    </row>
    <row r="73" spans="1:17" ht="15.75" customHeight="1">
      <c r="A73" s="55"/>
      <c r="B73" s="63"/>
      <c r="C73" s="63"/>
      <c r="D73" s="63"/>
      <c r="E73" s="63"/>
      <c r="F73" s="26" t="s">
        <v>58</v>
      </c>
      <c r="G73" s="63"/>
      <c r="H73" s="63"/>
      <c r="I73" s="26" t="s">
        <v>6</v>
      </c>
      <c r="J73" s="26" t="s">
        <v>59</v>
      </c>
      <c r="K73" s="63"/>
      <c r="L73" s="26" t="s">
        <v>60</v>
      </c>
      <c r="M73" s="26" t="s">
        <v>61</v>
      </c>
      <c r="N73" s="26" t="s">
        <v>62</v>
      </c>
      <c r="O73" s="55"/>
      <c r="P73" s="55"/>
      <c r="Q73" s="33"/>
    </row>
    <row r="74" spans="1:17" ht="15.75" customHeight="1">
      <c r="A74" s="55"/>
      <c r="B74" s="19">
        <v>167</v>
      </c>
      <c r="C74" s="19">
        <v>148</v>
      </c>
      <c r="D74" s="19">
        <v>7</v>
      </c>
      <c r="E74" s="19">
        <v>178</v>
      </c>
      <c r="F74" s="19">
        <v>108</v>
      </c>
      <c r="G74" s="19">
        <v>35</v>
      </c>
      <c r="H74" s="19">
        <v>149</v>
      </c>
      <c r="I74" s="19">
        <v>99</v>
      </c>
      <c r="J74" s="19">
        <v>33</v>
      </c>
      <c r="K74" s="19">
        <v>150</v>
      </c>
      <c r="L74" s="19">
        <v>123</v>
      </c>
      <c r="M74" s="19">
        <v>78</v>
      </c>
      <c r="N74" s="19">
        <v>170</v>
      </c>
      <c r="O74" s="55"/>
      <c r="P74" s="55"/>
      <c r="Q74" s="33"/>
    </row>
    <row r="75" spans="1:17" ht="15.75" customHeight="1">
      <c r="A75" s="55"/>
      <c r="B75" s="19">
        <v>60</v>
      </c>
      <c r="C75" s="19">
        <v>100</v>
      </c>
      <c r="D75" s="19">
        <v>0</v>
      </c>
      <c r="E75" s="19">
        <v>89</v>
      </c>
      <c r="F75" s="19">
        <v>0</v>
      </c>
      <c r="G75" s="19">
        <v>0</v>
      </c>
      <c r="H75" s="19">
        <v>149</v>
      </c>
      <c r="I75" s="19">
        <v>0</v>
      </c>
      <c r="J75" s="19">
        <v>0</v>
      </c>
      <c r="K75" s="19">
        <v>95</v>
      </c>
      <c r="L75" s="19">
        <v>0</v>
      </c>
      <c r="M75" s="19">
        <v>0</v>
      </c>
      <c r="N75" s="19">
        <v>70</v>
      </c>
      <c r="O75" s="55"/>
      <c r="P75" s="55"/>
      <c r="Q75" s="33"/>
    </row>
    <row r="76" spans="1:17" ht="15.75" customHeight="1">
      <c r="A76" s="22" t="s">
        <v>220</v>
      </c>
      <c r="B76" s="110">
        <v>50</v>
      </c>
      <c r="C76" s="110">
        <f>ROUNDUP(' AZUL 2'!C194,0)</f>
        <v>102</v>
      </c>
      <c r="D76" s="110">
        <f>ROUNDUP(' AZUL 2'!D194,0)</f>
        <v>5</v>
      </c>
      <c r="E76" s="110">
        <v>0</v>
      </c>
      <c r="F76" s="110">
        <v>0</v>
      </c>
      <c r="G76" s="110">
        <v>0</v>
      </c>
      <c r="H76" s="110">
        <f>ROUNDUP(' AZUL 2'!H194,0)</f>
        <v>109</v>
      </c>
      <c r="I76" s="110">
        <f>ROUNDUP(' AZUL 2'!I194,0)</f>
        <v>60</v>
      </c>
      <c r="J76" s="110">
        <f>ROUNDUP(' AZUL 2'!J194,0)</f>
        <v>20</v>
      </c>
      <c r="K76" s="110">
        <v>0</v>
      </c>
      <c r="L76" s="110">
        <v>0</v>
      </c>
      <c r="M76" s="110">
        <v>0</v>
      </c>
      <c r="N76" s="110">
        <v>0</v>
      </c>
      <c r="O76" s="55"/>
      <c r="P76" s="55"/>
      <c r="Q76" s="33"/>
    </row>
    <row r="77" spans="1:17" ht="15.75" customHeight="1">
      <c r="A77" s="22" t="s">
        <v>221</v>
      </c>
      <c r="B77" s="110">
        <f>ROUNDUP(' AZUL 2'!B195,0)</f>
        <v>3</v>
      </c>
      <c r="C77" s="110">
        <f>ROUNDUP(' AZUL 2'!C195,0)</f>
        <v>3</v>
      </c>
      <c r="D77" s="110">
        <v>0</v>
      </c>
      <c r="E77" s="110">
        <f>ROUNDUP(' AZUL 2'!E195,0)</f>
        <v>4</v>
      </c>
      <c r="F77" s="110">
        <f>ROUNDUP(' AZUL 2'!F195,0)</f>
        <v>2</v>
      </c>
      <c r="G77" s="110">
        <v>0</v>
      </c>
      <c r="H77" s="110">
        <f>ROUNDUP(' AZUL 2'!H195,0)</f>
        <v>4</v>
      </c>
      <c r="I77" s="110">
        <f>ROUNDUP(' AZUL 2'!I195,0)</f>
        <v>2</v>
      </c>
      <c r="J77" s="110">
        <f>ROUNDUP(' AZUL 2'!J195,0)</f>
        <v>1</v>
      </c>
      <c r="K77" s="110">
        <f>ROUNDUP(' AZUL 2'!K195,0)</f>
        <v>3</v>
      </c>
      <c r="L77" s="110">
        <f>ROUNDUP(' AZUL 2'!L195,0)</f>
        <v>2</v>
      </c>
      <c r="M77" s="110">
        <f>ROUNDUP(' AZUL 2'!M195,0)</f>
        <v>2</v>
      </c>
      <c r="N77" s="110">
        <f>ROUNDUP(' AZUL 2'!N195,0)</f>
        <v>4</v>
      </c>
      <c r="O77" s="33"/>
      <c r="P77" s="33"/>
      <c r="Q77" s="33"/>
    </row>
    <row r="78" spans="1:17" ht="15.75" customHeight="1">
      <c r="A78" s="22" t="s">
        <v>222</v>
      </c>
      <c r="B78" s="110">
        <v>0</v>
      </c>
      <c r="C78" s="110">
        <v>0</v>
      </c>
      <c r="D78" s="110">
        <v>0</v>
      </c>
      <c r="E78" s="110">
        <v>0</v>
      </c>
      <c r="F78" s="110">
        <v>0</v>
      </c>
      <c r="G78" s="110">
        <v>0</v>
      </c>
      <c r="H78" s="110">
        <v>0</v>
      </c>
      <c r="I78" s="110">
        <f>ROUNDUP(' AZUL 2'!I196,0)</f>
        <v>6</v>
      </c>
      <c r="J78" s="110">
        <f>ROUNDUP(' AZUL 2'!J196,0)</f>
        <v>2</v>
      </c>
      <c r="K78" s="110">
        <v>0</v>
      </c>
      <c r="L78" s="110">
        <v>0</v>
      </c>
      <c r="M78" s="110">
        <v>0</v>
      </c>
      <c r="N78" s="110">
        <f>ROUNDUP(' AZUL 2'!N196,0)</f>
        <v>11</v>
      </c>
      <c r="O78" s="33"/>
      <c r="P78" s="33"/>
      <c r="Q78" s="33"/>
    </row>
    <row r="79" spans="1:17" ht="15.75" customHeight="1">
      <c r="A79" s="22" t="s">
        <v>95</v>
      </c>
      <c r="B79" s="110">
        <f>ROUNDUP(' AZUL 2'!B197,0)</f>
        <v>10</v>
      </c>
      <c r="C79" s="110">
        <f>ROUNDUP(' AZUL 2'!C197,0)</f>
        <v>9</v>
      </c>
      <c r="D79" s="110">
        <f>ROUNDUP(' AZUL 2'!D197,0)</f>
        <v>1</v>
      </c>
      <c r="E79" s="110">
        <v>0</v>
      </c>
      <c r="F79" s="110">
        <v>0</v>
      </c>
      <c r="G79" s="110">
        <v>0</v>
      </c>
      <c r="H79" s="110">
        <v>0</v>
      </c>
      <c r="I79" s="110">
        <f>ROUNDUP(' AZUL 2'!I197,0)</f>
        <v>6</v>
      </c>
      <c r="J79" s="110">
        <f>ROUNDUP(' AZUL 2'!J197,0)</f>
        <v>2</v>
      </c>
      <c r="K79" s="110">
        <f>ROUNDUP(' AZUL 2'!K197,0)</f>
        <v>9</v>
      </c>
      <c r="L79" s="110">
        <v>0</v>
      </c>
      <c r="M79" s="110">
        <v>0</v>
      </c>
      <c r="N79" s="110">
        <v>0</v>
      </c>
      <c r="O79" s="33"/>
      <c r="P79" s="33"/>
      <c r="Q79" s="33"/>
    </row>
    <row r="80" spans="1:17" ht="15.75" customHeight="1">
      <c r="A80" s="22" t="s">
        <v>223</v>
      </c>
      <c r="B80" s="110">
        <f>ROUNDUP(' AZUL 2'!B198,0)</f>
        <v>13</v>
      </c>
      <c r="C80" s="110">
        <f>ROUNDUP(' AZUL 2'!C198,0)</f>
        <v>12</v>
      </c>
      <c r="D80" s="110">
        <v>0</v>
      </c>
      <c r="E80" s="110">
        <f>ROUNDUP(' AZUL 2'!E198,0)</f>
        <v>14</v>
      </c>
      <c r="F80" s="110">
        <v>0</v>
      </c>
      <c r="G80" s="110">
        <v>0</v>
      </c>
      <c r="H80" s="110">
        <v>0</v>
      </c>
      <c r="I80" s="110">
        <f>ROUNDUP(' AZUL 2'!I198,0)</f>
        <v>8</v>
      </c>
      <c r="J80" s="110">
        <f>ROUNDUP(' AZUL 2'!J198,0)</f>
        <v>3</v>
      </c>
      <c r="K80" s="110">
        <f>ROUNDUP(' AZUL 2'!K198,0)</f>
        <v>12</v>
      </c>
      <c r="L80" s="110">
        <f>ROUNDUP(' AZUL 2'!L198,0)</f>
        <v>10</v>
      </c>
      <c r="M80" s="110">
        <v>0</v>
      </c>
      <c r="N80" s="110">
        <v>0</v>
      </c>
      <c r="O80" s="33"/>
      <c r="P80" s="33"/>
      <c r="Q80" s="33"/>
    </row>
    <row r="81" spans="1:17" ht="15.75" customHeight="1">
      <c r="A81" s="22" t="s">
        <v>224</v>
      </c>
      <c r="B81" s="110">
        <v>0</v>
      </c>
      <c r="C81" s="110">
        <f>ROUNDUP(' AZUL 2'!C199,0)</f>
        <v>3</v>
      </c>
      <c r="D81" s="110">
        <v>0</v>
      </c>
      <c r="E81" s="110">
        <v>0</v>
      </c>
      <c r="F81" s="110">
        <v>0</v>
      </c>
      <c r="G81" s="110">
        <v>0</v>
      </c>
      <c r="H81" s="110">
        <f>ROUNDUP(' AZUL 2'!H199,0)</f>
        <v>3</v>
      </c>
      <c r="I81" s="110">
        <f>ROUNDUP(' AZUL 2'!I199,0)</f>
        <v>2</v>
      </c>
      <c r="J81" s="110">
        <f>ROUNDUP(' AZUL 2'!J199,0)</f>
        <v>1</v>
      </c>
      <c r="K81" s="110">
        <v>0</v>
      </c>
      <c r="L81" s="110">
        <f>ROUNDUP(' AZUL 2'!L199,0)</f>
        <v>3</v>
      </c>
      <c r="M81" s="110">
        <f>ROUNDUP(' AZUL 2'!M199,0)</f>
        <v>2</v>
      </c>
      <c r="N81" s="110">
        <v>0</v>
      </c>
      <c r="O81" s="33"/>
      <c r="P81" s="33"/>
      <c r="Q81" s="33"/>
    </row>
    <row r="82" spans="1:17" ht="15.75" customHeight="1">
      <c r="A82" s="22" t="s">
        <v>98</v>
      </c>
      <c r="B82" s="110">
        <f>ROUNDUP(' AZUL 2'!B200,0)</f>
        <v>3</v>
      </c>
      <c r="C82" s="110">
        <f>ROUNDUP(' AZUL 2'!C200,0)</f>
        <v>5</v>
      </c>
      <c r="D82" s="110">
        <f>ROUNDUP(' AZUL 2'!D200,0)</f>
        <v>0</v>
      </c>
      <c r="E82" s="110">
        <f>ROUNDUP(' AZUL 2'!E200,0)</f>
        <v>5</v>
      </c>
      <c r="F82" s="110">
        <v>0</v>
      </c>
      <c r="G82" s="110">
        <v>0</v>
      </c>
      <c r="H82" s="110">
        <f>ROUNDUP(' AZUL 2'!H200,0)</f>
        <v>8</v>
      </c>
      <c r="I82" s="110">
        <f>ROUNDUP(' AZUL 2'!I200,0)</f>
        <v>0</v>
      </c>
      <c r="J82" s="110">
        <f>ROUNDUP(' AZUL 2'!J200,0)</f>
        <v>0</v>
      </c>
      <c r="K82" s="110">
        <f>ROUNDUP(' AZUL 2'!K200,0)</f>
        <v>5</v>
      </c>
      <c r="L82" s="110">
        <f>ROUNDUP(' AZUL 2'!L200,0)</f>
        <v>0</v>
      </c>
      <c r="M82" s="110">
        <f>ROUNDUP(' AZUL 2'!M200,0)</f>
        <v>0</v>
      </c>
      <c r="N82" s="110">
        <f>ROUNDUP(' AZUL 2'!N200,0)</f>
        <v>4</v>
      </c>
      <c r="O82" s="33"/>
      <c r="P82" s="33"/>
      <c r="Q82" s="33"/>
    </row>
    <row r="83" spans="1:17" ht="15.75" customHeight="1">
      <c r="A83" s="22" t="s">
        <v>225</v>
      </c>
      <c r="B83" s="110">
        <v>0</v>
      </c>
      <c r="C83" s="110">
        <v>0</v>
      </c>
      <c r="D83" s="110">
        <f>ROUNDUP(' AZUL 2'!D201,0)</f>
        <v>0</v>
      </c>
      <c r="E83" s="110">
        <f>ROUNDUP(' AZUL 2'!E201,0)</f>
        <v>3</v>
      </c>
      <c r="F83" s="110">
        <v>0</v>
      </c>
      <c r="G83" s="110">
        <f>ROUNDUP(' AZUL 2'!G201,0)</f>
        <v>0</v>
      </c>
      <c r="H83" s="110">
        <v>0</v>
      </c>
      <c r="I83" s="110">
        <f>ROUNDUP(' AZUL 2'!I201,0)</f>
        <v>0</v>
      </c>
      <c r="J83" s="110">
        <f>ROUNDUP(' AZUL 2'!J201,0)</f>
        <v>0</v>
      </c>
      <c r="K83" s="110">
        <v>0</v>
      </c>
      <c r="L83" s="110">
        <f>ROUNDUP(' AZUL 2'!L201,0)</f>
        <v>0</v>
      </c>
      <c r="M83" s="110">
        <f>ROUNDUP(' AZUL 2'!M201,0)</f>
        <v>0</v>
      </c>
      <c r="N83" s="110">
        <v>0</v>
      </c>
      <c r="O83" s="33"/>
      <c r="P83" s="33"/>
      <c r="Q83" s="33"/>
    </row>
    <row r="84" spans="1:17" ht="15.75" customHeight="1">
      <c r="A84" s="22" t="s">
        <v>226</v>
      </c>
      <c r="B84" s="110">
        <v>0</v>
      </c>
      <c r="C84" s="110">
        <v>0</v>
      </c>
      <c r="D84" s="110">
        <f>ROUNDUP(' AZUL 2'!D202,0)</f>
        <v>0</v>
      </c>
      <c r="E84" s="110">
        <f>ROUNDUP(' AZUL 2'!E202,0)</f>
        <v>8</v>
      </c>
      <c r="F84" s="110">
        <f>ROUNDUP(' AZUL 2'!F202,0)</f>
        <v>0</v>
      </c>
      <c r="G84" s="110">
        <f>ROUNDUP(' AZUL 2'!G202,0)</f>
        <v>0</v>
      </c>
      <c r="H84" s="110">
        <v>0</v>
      </c>
      <c r="I84" s="110">
        <f>ROUNDUP(' AZUL 2'!I202,0)</f>
        <v>0</v>
      </c>
      <c r="J84" s="110">
        <f>ROUNDUP(' AZUL 2'!J202,0)</f>
        <v>0</v>
      </c>
      <c r="K84" s="110">
        <v>0</v>
      </c>
      <c r="L84" s="110">
        <f>ROUNDUP(' AZUL 2'!L202,0)</f>
        <v>0</v>
      </c>
      <c r="M84" s="110">
        <f>ROUNDUP(' AZUL 2'!M202,0)</f>
        <v>0</v>
      </c>
      <c r="N84" s="110">
        <v>0</v>
      </c>
      <c r="O84" s="33"/>
      <c r="P84" s="33"/>
      <c r="Q84" s="33"/>
    </row>
    <row r="85" spans="1:17" ht="15.75" customHeight="1">
      <c r="A85" s="22" t="s">
        <v>227</v>
      </c>
      <c r="B85" s="110">
        <f>ROUNDUP(' AZUL 2'!B203,0)</f>
        <v>0</v>
      </c>
      <c r="C85" s="110">
        <v>0</v>
      </c>
      <c r="D85" s="110">
        <f>ROUNDUP(' AZUL 2'!D203,0)</f>
        <v>0</v>
      </c>
      <c r="E85" s="110">
        <f>ROUNDUP(' AZUL 2'!E203,0)</f>
        <v>0</v>
      </c>
      <c r="F85" s="110">
        <f>ROUNDUP(' AZUL 2'!F203,0)</f>
        <v>0</v>
      </c>
      <c r="G85" s="110">
        <f>ROUNDUP(' AZUL 2'!G203,0)</f>
        <v>0</v>
      </c>
      <c r="H85" s="110">
        <v>0</v>
      </c>
      <c r="I85" s="110">
        <f>ROUNDUP(' AZUL 2'!I203,0)</f>
        <v>0</v>
      </c>
      <c r="J85" s="110">
        <f>ROUNDUP(' AZUL 2'!J203,0)</f>
        <v>0</v>
      </c>
      <c r="K85" s="110">
        <f>ROUNDUP(' AZUL 2'!K203,0)</f>
        <v>0</v>
      </c>
      <c r="L85" s="110">
        <f>ROUNDUP(' AZUL 2'!L203,0)</f>
        <v>0</v>
      </c>
      <c r="M85" s="110">
        <f>ROUNDUP(' AZUL 2'!M203,0)</f>
        <v>0</v>
      </c>
      <c r="N85" s="110">
        <v>0</v>
      </c>
      <c r="O85" s="33"/>
      <c r="P85" s="33"/>
      <c r="Q85" s="33"/>
    </row>
    <row r="86" spans="1:17" ht="15.75" customHeight="1">
      <c r="A86" s="22" t="s">
        <v>228</v>
      </c>
      <c r="B86" s="110">
        <f>ROUNDUP(' AZUL 2'!B204,0)</f>
        <v>7</v>
      </c>
      <c r="C86" s="110">
        <v>0</v>
      </c>
      <c r="D86" s="110">
        <f>ROUNDUP(' AZUL 2'!D204,0)</f>
        <v>0</v>
      </c>
      <c r="E86" s="110">
        <f>ROUNDUP(' AZUL 2'!E204,0)</f>
        <v>11</v>
      </c>
      <c r="F86" s="110">
        <f>ROUNDUP(' AZUL 2'!F204,0)</f>
        <v>0</v>
      </c>
      <c r="G86" s="110">
        <f>ROUNDUP(' AZUL 2'!G204,0)</f>
        <v>0</v>
      </c>
      <c r="H86" s="110">
        <v>0</v>
      </c>
      <c r="I86" s="110">
        <f>ROUNDUP(' AZUL 2'!I204,0)</f>
        <v>0</v>
      </c>
      <c r="J86" s="110">
        <f>ROUNDUP(' AZUL 2'!J204,0)</f>
        <v>0</v>
      </c>
      <c r="K86" s="110">
        <f>ROUNDUP(' AZUL 2'!K204,0)</f>
        <v>11</v>
      </c>
      <c r="L86" s="110">
        <f>ROUNDUP(' AZUL 2'!L204,0)</f>
        <v>0</v>
      </c>
      <c r="M86" s="110">
        <f>ROUNDUP(' AZUL 2'!M204,0)</f>
        <v>0</v>
      </c>
      <c r="N86" s="110">
        <f>ROUNDUP(' AZUL 2'!N204,0)</f>
        <v>8</v>
      </c>
      <c r="O86" s="33"/>
      <c r="P86" s="33"/>
      <c r="Q86" s="33"/>
    </row>
    <row r="87" spans="1:17" ht="15.75" customHeight="1">
      <c r="A87" s="22" t="s">
        <v>229</v>
      </c>
      <c r="B87" s="110">
        <f>ROUNDUP(' AZUL 2'!B205,0)</f>
        <v>0</v>
      </c>
      <c r="C87" s="110">
        <f>ROUNDUP(' AZUL 2'!C205,0)</f>
        <v>0</v>
      </c>
      <c r="D87" s="110">
        <f>ROUNDUP(' AZUL 2'!D205,0)</f>
        <v>0</v>
      </c>
      <c r="E87" s="110">
        <f>ROUNDUP(' AZUL 2'!E205,0)</f>
        <v>0</v>
      </c>
      <c r="F87" s="110">
        <f>ROUNDUP(' AZUL 2'!F205,0)</f>
        <v>0</v>
      </c>
      <c r="G87" s="110">
        <f>ROUNDUP(' AZUL 2'!G205,0)</f>
        <v>0</v>
      </c>
      <c r="H87" s="110">
        <f>ROUNDUP(' AZUL 2'!H205,0)</f>
        <v>0</v>
      </c>
      <c r="I87" s="110">
        <f>ROUNDUP(' AZUL 2'!I205,0)</f>
        <v>0</v>
      </c>
      <c r="J87" s="110">
        <f>ROUNDUP(' AZUL 2'!J205,0)</f>
        <v>0</v>
      </c>
      <c r="K87" s="110">
        <f>ROUNDUP(' AZUL 2'!K205,0)</f>
        <v>0</v>
      </c>
      <c r="L87" s="110">
        <f>ROUNDUP(' AZUL 2'!L205,0)</f>
        <v>0</v>
      </c>
      <c r="M87" s="110">
        <f>ROUNDUP(' AZUL 2'!M205,0)</f>
        <v>0</v>
      </c>
      <c r="N87" s="110">
        <f>ROUNDUP(' AZUL 2'!N205,0)</f>
        <v>0</v>
      </c>
      <c r="O87" s="33"/>
      <c r="P87" s="33"/>
      <c r="Q87" s="33"/>
    </row>
    <row r="88" spans="1:17" ht="15.75" customHeight="1">
      <c r="A88" s="22" t="s">
        <v>230</v>
      </c>
      <c r="B88" s="110">
        <f>ROUNDUP(' AZUL 2'!B206,0)</f>
        <v>0</v>
      </c>
      <c r="C88" s="110">
        <f>ROUNDUP(' AZUL 2'!C206,0)</f>
        <v>0</v>
      </c>
      <c r="D88" s="110">
        <f>ROUNDUP(' AZUL 2'!D206,0)</f>
        <v>0</v>
      </c>
      <c r="E88" s="110">
        <f>ROUNDUP(' AZUL 2'!E206,0)</f>
        <v>0</v>
      </c>
      <c r="F88" s="110">
        <f>ROUNDUP(' AZUL 2'!F206,0)</f>
        <v>0</v>
      </c>
      <c r="G88" s="110">
        <f>ROUNDUP(' AZUL 2'!G206,0)</f>
        <v>0</v>
      </c>
      <c r="H88" s="110">
        <f>ROUNDUP(' AZUL 2'!H206,0)</f>
        <v>0</v>
      </c>
      <c r="I88" s="110">
        <f>ROUNDUP(' AZUL 2'!I206,0)</f>
        <v>0</v>
      </c>
      <c r="J88" s="110">
        <f>ROUNDUP(' AZUL 2'!J206,0)</f>
        <v>0</v>
      </c>
      <c r="K88" s="110">
        <f>ROUNDUP(' AZUL 2'!K206,0)</f>
        <v>0</v>
      </c>
      <c r="L88" s="110">
        <f>ROUNDUP(' AZUL 2'!L206,0)</f>
        <v>0</v>
      </c>
      <c r="M88" s="110">
        <f>ROUNDUP(' AZUL 2'!M206,0)</f>
        <v>0</v>
      </c>
      <c r="N88" s="110">
        <f>ROUNDUP(' AZUL 2'!N206,0)</f>
        <v>0</v>
      </c>
      <c r="O88" s="33"/>
      <c r="P88" s="33"/>
      <c r="Q88" s="33"/>
    </row>
    <row r="89" spans="1:17" ht="15.75" customHeight="1">
      <c r="A89" s="22" t="s">
        <v>105</v>
      </c>
      <c r="B89" s="110">
        <f>ROUNDUP(' AZUL 2'!B207,0)</f>
        <v>4</v>
      </c>
      <c r="C89" s="110">
        <f>ROUNDUP(' AZUL 2'!C207,0)</f>
        <v>6</v>
      </c>
      <c r="D89" s="110">
        <f>ROUNDUP(' AZUL 2'!D207,0)</f>
        <v>0</v>
      </c>
      <c r="E89" s="110">
        <f>ROUNDUP(' AZUL 2'!E207,0)</f>
        <v>6</v>
      </c>
      <c r="F89" s="110">
        <f>ROUNDUP(' AZUL 2'!F207,0)</f>
        <v>0</v>
      </c>
      <c r="G89" s="110">
        <f>ROUNDUP(' AZUL 2'!G207,0)</f>
        <v>0</v>
      </c>
      <c r="H89" s="110">
        <f>ROUNDUP(' AZUL 2'!H207,0)</f>
        <v>9</v>
      </c>
      <c r="I89" s="110">
        <f>ROUNDUP(' AZUL 2'!I207,0)</f>
        <v>0</v>
      </c>
      <c r="J89" s="110">
        <f>ROUNDUP(' AZUL 2'!J207,0)</f>
        <v>0</v>
      </c>
      <c r="K89" s="110">
        <f>ROUNDUP(' AZUL 2'!K207,0)</f>
        <v>6</v>
      </c>
      <c r="L89" s="110">
        <f>ROUNDUP(' AZUL 2'!L207,0)</f>
        <v>0</v>
      </c>
      <c r="M89" s="110">
        <f>ROUNDUP(' AZUL 2'!M207,0)</f>
        <v>0</v>
      </c>
      <c r="N89" s="110">
        <f>ROUNDUP(' AZUL 2'!N207,0)</f>
        <v>5</v>
      </c>
      <c r="O89" s="33"/>
      <c r="P89" s="33"/>
      <c r="Q89" s="33"/>
    </row>
    <row r="90" spans="1:17" ht="15.75" customHeight="1">
      <c r="A90" s="22" t="s">
        <v>231</v>
      </c>
      <c r="B90" s="110">
        <f>ROUNDUP(' AZUL 2'!B208,0)</f>
        <v>1</v>
      </c>
      <c r="C90" s="110">
        <f>ROUNDUP(' AZUL 2'!C208,0)</f>
        <v>1</v>
      </c>
      <c r="D90" s="110">
        <f>ROUNDUP(' AZUL 2'!D208,0)</f>
        <v>0</v>
      </c>
      <c r="E90" s="110">
        <f>ROUNDUP(' AZUL 2'!E208,0)</f>
        <v>1</v>
      </c>
      <c r="F90" s="110">
        <f>ROUNDUP(' AZUL 2'!F208,0)</f>
        <v>0</v>
      </c>
      <c r="G90" s="110">
        <f>ROUNDUP(' AZUL 2'!G208,0)</f>
        <v>0</v>
      </c>
      <c r="H90" s="110">
        <f>ROUNDUP(' AZUL 2'!H208,0)</f>
        <v>1</v>
      </c>
      <c r="I90" s="110">
        <f>ROUNDUP(' AZUL 2'!I208,0)</f>
        <v>0</v>
      </c>
      <c r="J90" s="110">
        <f>ROUNDUP(' AZUL 2'!J208,0)</f>
        <v>0</v>
      </c>
      <c r="K90" s="110">
        <f>ROUNDUP(' AZUL 2'!K208,0)</f>
        <v>1</v>
      </c>
      <c r="L90" s="110">
        <f>ROUNDUP(' AZUL 2'!L208,0)</f>
        <v>0</v>
      </c>
      <c r="M90" s="110">
        <f>ROUNDUP(' AZUL 2'!M208,0)</f>
        <v>0</v>
      </c>
      <c r="N90" s="110">
        <f>ROUNDUP(' AZUL 2'!N208,0)</f>
        <v>1</v>
      </c>
      <c r="O90" s="33"/>
      <c r="P90" s="33"/>
      <c r="Q90" s="33"/>
    </row>
    <row r="91" spans="1:17" ht="15.75" customHeight="1">
      <c r="A91" s="22" t="s">
        <v>232</v>
      </c>
      <c r="B91" s="110">
        <v>0</v>
      </c>
      <c r="C91" s="110">
        <f>ROUNDUP(' AZUL 2'!C209,0)</f>
        <v>14</v>
      </c>
      <c r="D91" s="110">
        <f>ROUNDUP(' AZUL 2'!D209,0)</f>
        <v>0</v>
      </c>
      <c r="E91" s="110">
        <f>ROUNDUP(' AZUL 2'!E209,0)</f>
        <v>13</v>
      </c>
      <c r="F91" s="110">
        <f>ROUNDUP(' AZUL 2'!F209,0)</f>
        <v>0</v>
      </c>
      <c r="G91" s="110">
        <f>ROUNDUP(' AZUL 2'!G209,0)</f>
        <v>0</v>
      </c>
      <c r="H91" s="110">
        <f>ROUNDUP(' AZUL 2'!H209,0)</f>
        <v>21</v>
      </c>
      <c r="I91" s="110">
        <f>ROUNDUP(' AZUL 2'!I209,0)</f>
        <v>0</v>
      </c>
      <c r="J91" s="110">
        <f>ROUNDUP(' AZUL 2'!J209,0)</f>
        <v>0</v>
      </c>
      <c r="K91" s="110">
        <v>0</v>
      </c>
      <c r="L91" s="110">
        <f>ROUNDUP(' AZUL 2'!L209,0)</f>
        <v>0</v>
      </c>
      <c r="M91" s="110">
        <f>ROUNDUP(' AZUL 2'!M209,0)</f>
        <v>0</v>
      </c>
      <c r="N91" s="110">
        <v>0</v>
      </c>
      <c r="O91" s="33"/>
      <c r="P91" s="33"/>
      <c r="Q91" s="33"/>
    </row>
    <row r="92" spans="1:17" ht="15.75" customHeight="1">
      <c r="A92" s="22" t="s">
        <v>108</v>
      </c>
      <c r="B92" s="110">
        <f>ROUNDUP(' AZUL 2'!B210,0)</f>
        <v>6</v>
      </c>
      <c r="C92" s="110">
        <v>7</v>
      </c>
      <c r="D92" s="110">
        <f>ROUNDUP(' AZUL 2'!D210,0)</f>
        <v>0</v>
      </c>
      <c r="E92" s="110">
        <f>ROUNDUP(' AZUL 2'!E210,0)</f>
        <v>9</v>
      </c>
      <c r="F92" s="110">
        <f>ROUNDUP(' AZUL 2'!F210,0)</f>
        <v>0</v>
      </c>
      <c r="G92" s="110">
        <f>ROUNDUP(' AZUL 2'!G210,0)</f>
        <v>0</v>
      </c>
      <c r="H92" s="110">
        <f>ROUNDUP(' AZUL 2'!H210,0)</f>
        <v>14</v>
      </c>
      <c r="I92" s="110">
        <f>ROUNDUP(' AZUL 2'!I210,0)</f>
        <v>0</v>
      </c>
      <c r="J92" s="110">
        <f>ROUNDUP(' AZUL 2'!J210,0)</f>
        <v>0</v>
      </c>
      <c r="K92" s="110">
        <f>ROUNDUP(' AZUL 2'!K210,0)</f>
        <v>9</v>
      </c>
      <c r="L92" s="110">
        <f>ROUNDUP(' AZUL 2'!L210,0)</f>
        <v>0</v>
      </c>
      <c r="M92" s="110">
        <f>ROUNDUP(' AZUL 2'!M210,0)</f>
        <v>0</v>
      </c>
      <c r="N92" s="110">
        <f>ROUNDUP(' AZUL 2'!N210,0)</f>
        <v>7</v>
      </c>
      <c r="O92" s="33"/>
      <c r="P92" s="33"/>
      <c r="Q92" s="33"/>
    </row>
    <row r="93" spans="1:17" ht="15.75" customHeight="1">
      <c r="A93" s="111" t="s">
        <v>109</v>
      </c>
      <c r="B93" s="110">
        <v>0</v>
      </c>
      <c r="C93" s="110">
        <v>0</v>
      </c>
      <c r="D93" s="110">
        <f>ROUNDUP(' AZUL 2'!D211,0)</f>
        <v>0</v>
      </c>
      <c r="E93" s="110">
        <f>ROUNDUP(' AZUL 2'!E211,0)</f>
        <v>4</v>
      </c>
      <c r="F93" s="110">
        <f>ROUNDUP(' AZUL 2'!F211,0)</f>
        <v>0</v>
      </c>
      <c r="G93" s="110">
        <f>ROUNDUP(' AZUL 2'!G211,0)</f>
        <v>0</v>
      </c>
      <c r="H93" s="110">
        <f>ROUNDUP(' AZUL 2'!H211,0)</f>
        <v>6</v>
      </c>
      <c r="I93" s="110">
        <f>ROUNDUP(' AZUL 2'!I211,0)</f>
        <v>0</v>
      </c>
      <c r="J93" s="110">
        <f>ROUNDUP(' AZUL 2'!J211,0)</f>
        <v>0</v>
      </c>
      <c r="K93" s="110">
        <f>ROUNDUP(' AZUL 2'!K211,0)</f>
        <v>4</v>
      </c>
      <c r="L93" s="110">
        <f>ROUNDUP(' AZUL 2'!L211,0)</f>
        <v>0</v>
      </c>
      <c r="M93" s="110">
        <f>ROUNDUP(' AZUL 2'!M211,0)</f>
        <v>0</v>
      </c>
      <c r="N93" s="110">
        <v>0</v>
      </c>
      <c r="O93" s="33"/>
      <c r="P93" s="33"/>
      <c r="Q93" s="33"/>
    </row>
    <row r="94" spans="1:17" ht="15.75" customHeight="1">
      <c r="A94" s="111" t="s">
        <v>110</v>
      </c>
      <c r="B94" s="110">
        <v>0</v>
      </c>
      <c r="C94" s="110">
        <v>0</v>
      </c>
      <c r="D94" s="110">
        <f>ROUNDUP(' AZUL 2'!D212,0)</f>
        <v>0</v>
      </c>
      <c r="E94" s="110">
        <f>ROUNDUP(' AZUL 2'!E212,0)</f>
        <v>1</v>
      </c>
      <c r="F94" s="110">
        <f>ROUNDUP(' AZUL 2'!F212,0)</f>
        <v>0</v>
      </c>
      <c r="G94" s="110">
        <f>ROUNDUP(' AZUL 2'!G212,0)</f>
        <v>0</v>
      </c>
      <c r="H94" s="110">
        <v>0</v>
      </c>
      <c r="I94" s="110">
        <f>ROUNDUP(' AZUL 2'!I212,0)</f>
        <v>0</v>
      </c>
      <c r="J94" s="110">
        <f>ROUNDUP(' AZUL 2'!J212,0)</f>
        <v>0</v>
      </c>
      <c r="K94" s="110">
        <v>0</v>
      </c>
      <c r="L94" s="110">
        <f>ROUNDUP(' AZUL 2'!L212,0)</f>
        <v>0</v>
      </c>
      <c r="M94" s="110">
        <f>ROUNDUP(' AZUL 2'!M212,0)</f>
        <v>0</v>
      </c>
      <c r="N94" s="110">
        <v>0</v>
      </c>
      <c r="O94" s="33"/>
      <c r="P94" s="33"/>
      <c r="Q94" s="33"/>
    </row>
    <row r="95" spans="1:17" ht="15.75" customHeight="1">
      <c r="A95" s="111" t="s">
        <v>111</v>
      </c>
      <c r="B95" s="110">
        <f>ROUNDUP(' AZUL 2'!B213,0)</f>
        <v>0</v>
      </c>
      <c r="C95" s="110">
        <f>ROUNDUP(' AZUL 2'!C213,0)</f>
        <v>0</v>
      </c>
      <c r="D95" s="110">
        <f>ROUNDUP(' AZUL 2'!D213,0)</f>
        <v>0</v>
      </c>
      <c r="E95" s="110">
        <f>ROUNDUP(' AZUL 2'!E213,0)</f>
        <v>0</v>
      </c>
      <c r="F95" s="110">
        <f>ROUNDUP(' AZUL 2'!F213,0)</f>
        <v>0</v>
      </c>
      <c r="G95" s="110">
        <f>ROUNDUP(' AZUL 2'!G213,0)</f>
        <v>0</v>
      </c>
      <c r="H95" s="110">
        <v>0</v>
      </c>
      <c r="I95" s="110">
        <f>ROUNDUP(' AZUL 2'!I213,0)</f>
        <v>0</v>
      </c>
      <c r="J95" s="110">
        <f>ROUNDUP(' AZUL 2'!J213,0)</f>
        <v>0</v>
      </c>
      <c r="K95" s="110">
        <v>0</v>
      </c>
      <c r="L95" s="110">
        <f>ROUNDUP(' AZUL 2'!L213,0)</f>
        <v>0</v>
      </c>
      <c r="M95" s="110">
        <f>ROUNDUP(' AZUL 2'!M213,0)</f>
        <v>0</v>
      </c>
      <c r="N95" s="110">
        <f>ROUNDUP(' AZUL 2'!N213,0)</f>
        <v>0</v>
      </c>
      <c r="O95" s="33"/>
      <c r="P95" s="33"/>
      <c r="Q95" s="33"/>
    </row>
    <row r="96" spans="1:17" ht="15.75" customHeight="1">
      <c r="A96" s="111" t="s">
        <v>112</v>
      </c>
      <c r="B96" s="110">
        <f>ROUNDUP(' AZUL 2'!B214,0)</f>
        <v>3</v>
      </c>
      <c r="C96" s="110">
        <v>0</v>
      </c>
      <c r="D96" s="110">
        <f>ROUNDUP(' AZUL 2'!D214,0)</f>
        <v>0</v>
      </c>
      <c r="E96" s="110">
        <f>ROUNDUP(' AZUL 2'!E214,0)</f>
        <v>5</v>
      </c>
      <c r="F96" s="110">
        <f>ROUNDUP(' AZUL 2'!F214,0)</f>
        <v>0</v>
      </c>
      <c r="G96" s="110">
        <f>ROUNDUP(' AZUL 2'!G214,0)</f>
        <v>0</v>
      </c>
      <c r="H96" s="110">
        <v>0</v>
      </c>
      <c r="I96" s="110">
        <f>ROUNDUP(' AZUL 2'!I214,0)</f>
        <v>0</v>
      </c>
      <c r="J96" s="110">
        <f>ROUNDUP(' AZUL 2'!J214,0)</f>
        <v>0</v>
      </c>
      <c r="K96" s="110">
        <f>ROUNDUP(' AZUL 2'!K214,0)</f>
        <v>5</v>
      </c>
      <c r="L96" s="110">
        <f>ROUNDUP(' AZUL 2'!L214,0)</f>
        <v>0</v>
      </c>
      <c r="M96" s="110">
        <f>ROUNDUP(' AZUL 2'!M214,0)</f>
        <v>0</v>
      </c>
      <c r="N96" s="110">
        <f>ROUNDUP(' AZUL 2'!N214,0)</f>
        <v>4</v>
      </c>
      <c r="O96" s="33"/>
      <c r="P96" s="33"/>
      <c r="Q96" s="33"/>
    </row>
    <row r="97" spans="1:17" ht="15.75" customHeight="1">
      <c r="A97" s="111" t="s">
        <v>113</v>
      </c>
      <c r="B97" s="110">
        <v>0</v>
      </c>
      <c r="C97" s="110">
        <f>ROUNDUP(' AZUL 2'!C215,0)</f>
        <v>8</v>
      </c>
      <c r="D97" s="110">
        <f>ROUNDUP(' AZUL 2'!D215,0)</f>
        <v>0</v>
      </c>
      <c r="E97" s="110">
        <f>ROUNDUP(' AZUL 2'!E215,0)</f>
        <v>7</v>
      </c>
      <c r="F97" s="110">
        <f>ROUNDUP(' AZUL 2'!F215,0)</f>
        <v>0</v>
      </c>
      <c r="G97" s="110">
        <f>ROUNDUP(' AZUL 2'!G215,0)</f>
        <v>0</v>
      </c>
      <c r="H97" s="110">
        <f>ROUNDUP(' AZUL 2'!H215,0)</f>
        <v>12</v>
      </c>
      <c r="I97" s="110">
        <f>ROUNDUP(' AZUL 2'!I215,0)</f>
        <v>0</v>
      </c>
      <c r="J97" s="110">
        <f>ROUNDUP(' AZUL 2'!J215,0)</f>
        <v>0</v>
      </c>
      <c r="K97" s="110">
        <f>ROUNDUP(' AZUL 2'!K215,0)</f>
        <v>8</v>
      </c>
      <c r="L97" s="110">
        <f>ROUNDUP(' AZUL 2'!L215,0)</f>
        <v>0</v>
      </c>
      <c r="M97" s="110">
        <f>ROUNDUP(' AZUL 2'!M215,0)</f>
        <v>0</v>
      </c>
      <c r="N97" s="110">
        <f>ROUNDUP(' AZUL 2'!N215,0)</f>
        <v>6</v>
      </c>
      <c r="O97" s="33"/>
      <c r="P97" s="33"/>
      <c r="Q97" s="33"/>
    </row>
    <row r="98" spans="1:17" ht="15.75" customHeight="1">
      <c r="A98" s="111" t="s">
        <v>114</v>
      </c>
      <c r="B98" s="110">
        <v>0</v>
      </c>
      <c r="C98" s="110">
        <f>ROUNDUP(' AZUL 2'!C216,0)</f>
        <v>2</v>
      </c>
      <c r="D98" s="110">
        <f>ROUNDUP(' AZUL 2'!D216,0)</f>
        <v>0</v>
      </c>
      <c r="E98" s="110">
        <f>ROUNDUP(' AZUL 2'!E216,0)</f>
        <v>2</v>
      </c>
      <c r="F98" s="110">
        <f>ROUNDUP(' AZUL 2'!F216,0)</f>
        <v>0</v>
      </c>
      <c r="G98" s="110">
        <f>ROUNDUP(' AZUL 2'!G216,0)</f>
        <v>0</v>
      </c>
      <c r="H98" s="110">
        <f>ROUNDUP(' AZUL 2'!H216,0)</f>
        <v>3</v>
      </c>
      <c r="I98" s="110">
        <f>ROUNDUP(' AZUL 2'!I216,0)</f>
        <v>0</v>
      </c>
      <c r="J98" s="110">
        <f>ROUNDUP(' AZUL 2'!J216,0)</f>
        <v>0</v>
      </c>
      <c r="K98" s="110">
        <f>ROUNDUP(' AZUL 2'!K216,0)</f>
        <v>2</v>
      </c>
      <c r="L98" s="110">
        <f>ROUNDUP(' AZUL 2'!L216,0)</f>
        <v>0</v>
      </c>
      <c r="M98" s="110">
        <f>ROUNDUP(' AZUL 2'!M216,0)</f>
        <v>0</v>
      </c>
      <c r="N98" s="110">
        <f>ROUNDUP(' AZUL 2'!N216,0)</f>
        <v>2</v>
      </c>
      <c r="O98" s="33"/>
      <c r="P98" s="33"/>
      <c r="Q98" s="33"/>
    </row>
    <row r="99" spans="1:17" ht="15.75" customHeight="1">
      <c r="A99" s="112" t="s">
        <v>205</v>
      </c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33"/>
      <c r="P99" s="33"/>
      <c r="Q99" s="33"/>
    </row>
    <row r="100" spans="1:17" ht="15.75" customHeight="1">
      <c r="A100" s="114" t="s">
        <v>206</v>
      </c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6">
        <v>1</v>
      </c>
      <c r="O100" s="33"/>
      <c r="P100" s="33"/>
      <c r="Q100" s="33"/>
    </row>
    <row r="101" spans="1:17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</row>
    <row r="102" spans="1:17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</row>
    <row r="103" spans="1:17" ht="15.75" customHeight="1">
      <c r="A103" s="33"/>
      <c r="B103" s="151" t="s">
        <v>63</v>
      </c>
      <c r="C103" s="151" t="s">
        <v>64</v>
      </c>
      <c r="D103" s="26" t="s">
        <v>65</v>
      </c>
      <c r="E103" s="163" t="s">
        <v>66</v>
      </c>
      <c r="F103" s="162" t="s">
        <v>67</v>
      </c>
      <c r="G103" s="169" t="s">
        <v>68</v>
      </c>
      <c r="H103" s="151">
        <v>502</v>
      </c>
      <c r="I103" s="151">
        <v>503</v>
      </c>
      <c r="J103" s="151">
        <v>504</v>
      </c>
      <c r="K103" s="151">
        <v>505</v>
      </c>
      <c r="L103" s="153" t="s">
        <v>69</v>
      </c>
      <c r="M103" s="166" t="s">
        <v>70</v>
      </c>
      <c r="N103" s="166" t="s">
        <v>71</v>
      </c>
      <c r="O103" s="33"/>
      <c r="P103" s="33"/>
      <c r="Q103" s="33"/>
    </row>
    <row r="104" spans="1:17" ht="15.75" customHeight="1">
      <c r="A104" s="33"/>
      <c r="B104" s="36" t="s">
        <v>34</v>
      </c>
      <c r="C104" s="37"/>
      <c r="D104" s="37"/>
      <c r="E104" s="36" t="s">
        <v>72</v>
      </c>
      <c r="F104" s="38"/>
      <c r="G104" s="109"/>
      <c r="H104" s="37"/>
      <c r="I104" s="37"/>
      <c r="J104" s="37"/>
      <c r="K104" s="37"/>
      <c r="L104" s="37"/>
      <c r="M104" s="37"/>
      <c r="N104" s="37"/>
      <c r="O104" s="33"/>
      <c r="P104" s="33"/>
      <c r="Q104" s="33"/>
    </row>
    <row r="105" spans="1:17" ht="15.75" customHeight="1">
      <c r="A105" s="33"/>
      <c r="B105" s="19">
        <v>68</v>
      </c>
      <c r="C105" s="40">
        <v>566</v>
      </c>
      <c r="D105" s="19">
        <v>850</v>
      </c>
      <c r="E105" s="19">
        <v>121</v>
      </c>
      <c r="F105" s="19">
        <v>100</v>
      </c>
      <c r="G105" s="19">
        <v>108</v>
      </c>
      <c r="H105" s="19">
        <v>124</v>
      </c>
      <c r="I105" s="19">
        <v>46</v>
      </c>
      <c r="J105" s="19">
        <v>50</v>
      </c>
      <c r="K105" s="19">
        <v>104</v>
      </c>
      <c r="L105" s="19">
        <v>60</v>
      </c>
      <c r="M105" s="19">
        <v>42</v>
      </c>
      <c r="N105" s="19">
        <v>103</v>
      </c>
      <c r="O105" s="33"/>
      <c r="P105" s="33"/>
      <c r="Q105" s="33"/>
    </row>
    <row r="106" spans="1:17" ht="15.75" customHeight="1">
      <c r="A106" s="33"/>
      <c r="B106" s="19">
        <v>68</v>
      </c>
      <c r="C106" s="41">
        <v>160</v>
      </c>
      <c r="D106" s="19">
        <v>0</v>
      </c>
      <c r="E106" s="19">
        <v>0</v>
      </c>
      <c r="F106" s="19">
        <v>100</v>
      </c>
      <c r="G106" s="19">
        <v>54</v>
      </c>
      <c r="H106" s="19">
        <v>62</v>
      </c>
      <c r="I106" s="19">
        <v>23</v>
      </c>
      <c r="J106" s="19">
        <v>25</v>
      </c>
      <c r="K106" s="19">
        <v>52</v>
      </c>
      <c r="L106" s="19">
        <v>30</v>
      </c>
      <c r="M106" s="19">
        <v>19</v>
      </c>
      <c r="N106" s="19">
        <v>103</v>
      </c>
      <c r="O106" s="33"/>
      <c r="P106" s="33"/>
      <c r="Q106" s="33"/>
    </row>
    <row r="107" spans="1:17" ht="15.75" customHeight="1">
      <c r="A107" s="22" t="s">
        <v>233</v>
      </c>
      <c r="B107" s="117">
        <v>0</v>
      </c>
      <c r="C107" s="117">
        <v>0</v>
      </c>
      <c r="D107" s="117">
        <v>110</v>
      </c>
      <c r="E107" s="117">
        <v>0</v>
      </c>
      <c r="F107" s="117">
        <f>ROUNDUP(' AZUL 2'!F224,0)</f>
        <v>73</v>
      </c>
      <c r="G107" s="117">
        <f>ROUNDUP(' AZUL 2'!G224,0)</f>
        <v>72</v>
      </c>
      <c r="H107" s="117">
        <v>75</v>
      </c>
      <c r="I107" s="117">
        <f>ROUNDUP(' AZUL 2'!I224,0)</f>
        <v>31</v>
      </c>
      <c r="J107" s="117">
        <f>ROUNDUP(' AZUL 2'!J224,0)</f>
        <v>34</v>
      </c>
      <c r="K107" s="117">
        <f>ROUNDUP(' AZUL 2'!K224,0)</f>
        <v>69</v>
      </c>
      <c r="L107" s="117">
        <v>0</v>
      </c>
      <c r="M107" s="117">
        <v>0</v>
      </c>
      <c r="N107" s="117">
        <v>0</v>
      </c>
      <c r="O107" s="33"/>
      <c r="P107" s="33"/>
      <c r="Q107" s="33"/>
    </row>
    <row r="108" spans="1:17" ht="15.75" customHeight="1">
      <c r="A108" s="22" t="s">
        <v>234</v>
      </c>
      <c r="B108" s="117">
        <f>ROUNDUP(' AZUL 2'!B225,0)</f>
        <v>2</v>
      </c>
      <c r="C108" s="117">
        <f>ROUNDUP(' AZUL 2'!C225,0)</f>
        <v>10</v>
      </c>
      <c r="D108" s="117">
        <v>5</v>
      </c>
      <c r="E108" s="117">
        <f>ROUNDUP(' AZUL 2'!E225,0)</f>
        <v>2</v>
      </c>
      <c r="F108" s="117">
        <f>ROUNDUP(' AZUL 2'!F225,0)</f>
        <v>3</v>
      </c>
      <c r="G108" s="117">
        <f>ROUNDUP(' AZUL 2'!G225,0)</f>
        <v>2</v>
      </c>
      <c r="H108" s="117">
        <f>ROUNDUP(' AZUL 2'!H225,0)</f>
        <v>3</v>
      </c>
      <c r="I108" s="117">
        <f>ROUNDUP(' AZUL 2'!I225,0)</f>
        <v>1</v>
      </c>
      <c r="J108" s="117">
        <f>ROUNDUP(' AZUL 2'!J225,0)</f>
        <v>1</v>
      </c>
      <c r="K108" s="117">
        <f>ROUNDUP(' AZUL 2'!K225,0)</f>
        <v>2</v>
      </c>
      <c r="L108" s="117">
        <f>ROUNDUP(' AZUL 2'!L225,0)</f>
        <v>2</v>
      </c>
      <c r="M108" s="117">
        <f>ROUNDUP(' AZUL 2'!M225,0)</f>
        <v>1</v>
      </c>
      <c r="N108" s="117">
        <f>ROUNDUP(' AZUL 2'!N225,0)</f>
        <v>3</v>
      </c>
      <c r="O108" s="33"/>
      <c r="P108" s="33"/>
      <c r="Q108" s="33"/>
    </row>
    <row r="109" spans="1:17" ht="15.75" customHeight="1">
      <c r="A109" s="22" t="s">
        <v>235</v>
      </c>
      <c r="B109" s="117">
        <v>0</v>
      </c>
      <c r="C109" s="117">
        <v>0</v>
      </c>
      <c r="D109" s="117">
        <v>10</v>
      </c>
      <c r="E109" s="117">
        <v>0</v>
      </c>
      <c r="F109" s="117">
        <v>0</v>
      </c>
      <c r="G109" s="117">
        <f>ROUNDUP(' AZUL 2'!G226,0)</f>
        <v>7</v>
      </c>
      <c r="H109" s="117">
        <f>ROUNDUP(' AZUL 2'!H226,0)</f>
        <v>8</v>
      </c>
      <c r="I109" s="117">
        <v>0</v>
      </c>
      <c r="J109" s="117">
        <f>ROUNDUP(' AZUL 2'!J226,0)</f>
        <v>3</v>
      </c>
      <c r="K109" s="117">
        <v>0</v>
      </c>
      <c r="L109" s="117">
        <v>0</v>
      </c>
      <c r="M109" s="117">
        <v>0</v>
      </c>
      <c r="N109" s="117">
        <f>ROUNDUP(' AZUL 2'!N226,0)</f>
        <v>7</v>
      </c>
      <c r="O109" s="33"/>
      <c r="P109" s="33"/>
      <c r="Q109" s="33"/>
    </row>
    <row r="110" spans="1:17" ht="15.75" customHeight="1">
      <c r="A110" s="22" t="s">
        <v>95</v>
      </c>
      <c r="B110" s="117">
        <f>ROUNDUP(' AZUL 2'!B227,0)</f>
        <v>4</v>
      </c>
      <c r="C110" s="117">
        <v>0</v>
      </c>
      <c r="D110" s="117">
        <v>40</v>
      </c>
      <c r="E110" s="117">
        <v>0</v>
      </c>
      <c r="F110" s="117">
        <v>0</v>
      </c>
      <c r="G110" s="117">
        <f>ROUNDUP(' AZUL 2'!G227,0)</f>
        <v>6</v>
      </c>
      <c r="H110" s="117">
        <f>ROUNDUP(' AZUL 2'!H227,0)</f>
        <v>7</v>
      </c>
      <c r="I110" s="117">
        <v>0</v>
      </c>
      <c r="J110" s="117">
        <f>ROUNDUP(' AZUL 2'!J227,0)</f>
        <v>3</v>
      </c>
      <c r="K110" s="117">
        <f>ROUNDUP(' AZUL 2'!K227,0)</f>
        <v>6</v>
      </c>
      <c r="L110" s="117">
        <v>0</v>
      </c>
      <c r="M110" s="117">
        <v>0</v>
      </c>
      <c r="N110" s="117">
        <f>ROUNDUP(' AZUL 2'!N227,0)</f>
        <v>6</v>
      </c>
      <c r="O110" s="33"/>
      <c r="P110" s="33"/>
      <c r="Q110" s="33"/>
    </row>
    <row r="111" spans="1:17" ht="15.75" customHeight="1">
      <c r="A111" s="22" t="s">
        <v>236</v>
      </c>
      <c r="B111" s="117">
        <f>ROUNDUP(' AZUL 2'!B228,0)</f>
        <v>6</v>
      </c>
      <c r="C111" s="117">
        <v>0</v>
      </c>
      <c r="D111" s="117">
        <v>100</v>
      </c>
      <c r="E111" s="117">
        <v>0</v>
      </c>
      <c r="F111" s="117">
        <f>ROUNDUP(' AZUL 2'!F228,0)</f>
        <v>8</v>
      </c>
      <c r="G111" s="117">
        <f>ROUNDUP(' AZUL 2'!G228,0)</f>
        <v>9</v>
      </c>
      <c r="H111" s="117">
        <f>ROUNDUP(' AZUL 2'!H228,0)</f>
        <v>10</v>
      </c>
      <c r="I111" s="117">
        <v>0</v>
      </c>
      <c r="J111" s="117">
        <f>ROUNDUP(' AZUL 2'!J228,0)</f>
        <v>4</v>
      </c>
      <c r="K111" s="117">
        <v>0</v>
      </c>
      <c r="L111" s="117">
        <v>0</v>
      </c>
      <c r="M111" s="117">
        <v>0</v>
      </c>
      <c r="N111" s="117">
        <f>ROUNDUP(' AZUL 2'!N228,0)</f>
        <v>8</v>
      </c>
      <c r="O111" s="33"/>
      <c r="P111" s="33"/>
      <c r="Q111" s="33"/>
    </row>
    <row r="112" spans="1:17" ht="15.75" customHeight="1">
      <c r="A112" s="22" t="s">
        <v>237</v>
      </c>
      <c r="B112" s="117">
        <v>0</v>
      </c>
      <c r="C112" s="117">
        <v>0</v>
      </c>
      <c r="D112" s="117">
        <v>15</v>
      </c>
      <c r="E112" s="117">
        <v>0</v>
      </c>
      <c r="F112" s="117">
        <f>ROUNDUP(' AZUL 2'!F229,0)</f>
        <v>2</v>
      </c>
      <c r="G112" s="117">
        <f>ROUNDUP(' AZUL 2'!G229,0)</f>
        <v>3</v>
      </c>
      <c r="H112" s="117">
        <f>ROUNDUP(' AZUL 2'!H229,0)</f>
        <v>3</v>
      </c>
      <c r="I112" s="117">
        <f>ROUNDUP(' AZUL 2'!I229,0)</f>
        <v>1</v>
      </c>
      <c r="J112" s="117">
        <f>ROUNDUP(' AZUL 2'!J229,0)</f>
        <v>1</v>
      </c>
      <c r="K112" s="117">
        <v>0</v>
      </c>
      <c r="L112" s="117">
        <v>0</v>
      </c>
      <c r="M112" s="117">
        <v>0</v>
      </c>
      <c r="N112" s="117">
        <f>ROUNDUP(' AZUL 2'!N229,0)</f>
        <v>3</v>
      </c>
      <c r="O112" s="33"/>
      <c r="P112" s="33"/>
      <c r="Q112" s="33"/>
    </row>
    <row r="113" spans="1:26" ht="15.75" customHeight="1">
      <c r="A113" s="118" t="s">
        <v>238</v>
      </c>
      <c r="B113" s="117">
        <f>ROUNDUP(' AZUL 2'!B230,0)</f>
        <v>4</v>
      </c>
      <c r="C113" s="117">
        <f>ROUNDUP(' AZUL 2'!C230,0)</f>
        <v>8</v>
      </c>
      <c r="D113" s="117">
        <f>ROUNDUP(' AZUL 2'!D230,0)</f>
        <v>0</v>
      </c>
      <c r="E113" s="117">
        <f>ROUNDUP(' AZUL 2'!E230,0)</f>
        <v>0</v>
      </c>
      <c r="F113" s="117">
        <f>ROUNDUP(' AZUL 2'!F230,0)</f>
        <v>5</v>
      </c>
      <c r="G113" s="117">
        <f>ROUNDUP(' AZUL 2'!G230,0)</f>
        <v>3</v>
      </c>
      <c r="H113" s="117">
        <f>ROUNDUP(' AZUL 2'!H230,0)</f>
        <v>4</v>
      </c>
      <c r="I113" s="117">
        <f>ROUNDUP(' AZUL 2'!I230,0)</f>
        <v>2</v>
      </c>
      <c r="J113" s="117">
        <f>ROUNDUP(' AZUL 2'!J230,0)</f>
        <v>2</v>
      </c>
      <c r="K113" s="117">
        <f>ROUNDUP(' AZUL 2'!K230,0)</f>
        <v>3</v>
      </c>
      <c r="L113" s="117">
        <f>ROUNDUP(' AZUL 2'!L230,0)</f>
        <v>2</v>
      </c>
      <c r="M113" s="117">
        <f>ROUNDUP(' AZUL 2'!M230,0)</f>
        <v>1</v>
      </c>
      <c r="N113" s="117">
        <f>ROUNDUP(' AZUL 2'!N230,0)</f>
        <v>6</v>
      </c>
      <c r="O113" s="33"/>
      <c r="P113" s="33"/>
      <c r="Q113" s="33"/>
    </row>
    <row r="114" spans="1:26" ht="15.75" customHeight="1">
      <c r="A114" s="22" t="s">
        <v>239</v>
      </c>
      <c r="B114" s="117">
        <f>ROUNDUP(' AZUL 2'!B231,0)</f>
        <v>3</v>
      </c>
      <c r="C114" s="117">
        <f>ROUNDUP(' AZUL 2'!C231,0)</f>
        <v>6</v>
      </c>
      <c r="D114" s="117">
        <f>ROUNDUP(' AZUL 2'!D231,0)</f>
        <v>0</v>
      </c>
      <c r="E114" s="117">
        <f>ROUNDUP(' AZUL 2'!E231,0)</f>
        <v>0</v>
      </c>
      <c r="F114" s="117">
        <f>ROUNDUP(' AZUL 2'!F231,0)</f>
        <v>4</v>
      </c>
      <c r="G114" s="117">
        <f>ROUNDUP(' AZUL 2'!G231,0)</f>
        <v>2</v>
      </c>
      <c r="H114" s="117">
        <f>ROUNDUP(' AZUL 2'!H231,0)</f>
        <v>3</v>
      </c>
      <c r="I114" s="117">
        <v>0</v>
      </c>
      <c r="J114" s="117">
        <f>ROUNDUP(' AZUL 2'!J231,0)</f>
        <v>1</v>
      </c>
      <c r="K114" s="117">
        <f>ROUNDUP(' AZUL 2'!K231,0)</f>
        <v>2</v>
      </c>
      <c r="L114" s="117">
        <f>ROUNDUP(' AZUL 2'!L231,0)</f>
        <v>1</v>
      </c>
      <c r="M114" s="117">
        <v>0</v>
      </c>
      <c r="N114" s="117">
        <f>ROUNDUP(' AZUL 2'!N231,0)</f>
        <v>4</v>
      </c>
      <c r="O114" s="33"/>
      <c r="P114" s="33"/>
      <c r="Q114" s="33"/>
    </row>
    <row r="115" spans="1:26" ht="15.75" customHeight="1">
      <c r="A115" s="22" t="s">
        <v>240</v>
      </c>
      <c r="B115" s="117">
        <v>0</v>
      </c>
      <c r="C115" s="117">
        <f>ROUNDUP(' AZUL 2'!C232,0)</f>
        <v>13</v>
      </c>
      <c r="D115" s="117">
        <f>ROUNDUP(' AZUL 2'!D232,0)</f>
        <v>0</v>
      </c>
      <c r="E115" s="117">
        <f>ROUNDUP(' AZUL 2'!E232,0)</f>
        <v>0</v>
      </c>
      <c r="F115" s="117">
        <f>ROUNDUP(' AZUL 2'!F232,0)</f>
        <v>8</v>
      </c>
      <c r="G115" s="117">
        <f>ROUNDUP(' AZUL 2'!G232,0)</f>
        <v>5</v>
      </c>
      <c r="H115" s="117">
        <f>ROUNDUP(' AZUL 2'!H232,0)</f>
        <v>5</v>
      </c>
      <c r="I115" s="117">
        <f>ROUNDUP(' AZUL 2'!I232,0)</f>
        <v>2</v>
      </c>
      <c r="J115" s="117">
        <f>ROUNDUP(' AZUL 2'!J232,0)</f>
        <v>2</v>
      </c>
      <c r="K115" s="117">
        <v>0</v>
      </c>
      <c r="L115" s="117">
        <f>ROUNDUP(' AZUL 2'!L232,0)</f>
        <v>3</v>
      </c>
      <c r="M115" s="117">
        <v>0</v>
      </c>
      <c r="N115" s="117">
        <v>0</v>
      </c>
      <c r="O115" s="33"/>
      <c r="P115" s="33"/>
      <c r="Q115" s="33"/>
    </row>
    <row r="116" spans="1:26" ht="15.75" customHeight="1">
      <c r="A116" s="22" t="s">
        <v>241</v>
      </c>
      <c r="B116" s="117">
        <f>ROUNDUP(' AZUL 2'!B233,0)</f>
        <v>0</v>
      </c>
      <c r="C116" s="117">
        <f>ROUNDUP(' AZUL 2'!C233,0)</f>
        <v>0</v>
      </c>
      <c r="D116" s="117">
        <f>ROUNDUP(' AZUL 2'!D233,0)</f>
        <v>0</v>
      </c>
      <c r="E116" s="117">
        <f>ROUNDUP(' AZUL 2'!E233,0)</f>
        <v>0</v>
      </c>
      <c r="F116" s="117">
        <f>ROUNDUP(' AZUL 2'!F233,0)</f>
        <v>0</v>
      </c>
      <c r="G116" s="117">
        <f>ROUNDUP(' AZUL 2'!G233,0)</f>
        <v>0</v>
      </c>
      <c r="H116" s="117">
        <f>ROUNDUP(' AZUL 2'!H233,0)</f>
        <v>0</v>
      </c>
      <c r="I116" s="117">
        <f>ROUNDUP(' AZUL 2'!I233,0)</f>
        <v>0</v>
      </c>
      <c r="J116" s="117">
        <f>ROUNDUP(' AZUL 2'!J233,0)</f>
        <v>0</v>
      </c>
      <c r="K116" s="117">
        <f>ROUNDUP(' AZUL 2'!K233,0)</f>
        <v>0</v>
      </c>
      <c r="L116" s="117">
        <f>ROUNDUP(' AZUL 2'!L233,0)</f>
        <v>0</v>
      </c>
      <c r="M116" s="117">
        <v>0</v>
      </c>
      <c r="N116" s="117">
        <f>ROUNDUP(' AZUL 2'!N233,0)</f>
        <v>0</v>
      </c>
      <c r="O116" s="33"/>
      <c r="P116" s="33"/>
      <c r="Q116" s="33"/>
    </row>
    <row r="117" spans="1:26" ht="15.75" customHeight="1">
      <c r="A117" s="22" t="s">
        <v>242</v>
      </c>
      <c r="B117" s="117">
        <v>0</v>
      </c>
      <c r="C117" s="117">
        <f>ROUNDUP(' AZUL 2'!C234,0)</f>
        <v>19</v>
      </c>
      <c r="D117" s="117">
        <f>ROUNDUP(' AZUL 2'!D234,0)</f>
        <v>0</v>
      </c>
      <c r="E117" s="117">
        <f>ROUNDUP(' AZUL 2'!E234,0)</f>
        <v>0</v>
      </c>
      <c r="F117" s="117">
        <v>0</v>
      </c>
      <c r="G117" s="117">
        <f>ROUNDUP(' AZUL 2'!G234,0)</f>
        <v>7</v>
      </c>
      <c r="H117" s="117">
        <f>ROUNDUP(' AZUL 2'!H234,0)</f>
        <v>8</v>
      </c>
      <c r="I117" s="117">
        <f>ROUNDUP(' AZUL 2'!I234,0)</f>
        <v>3</v>
      </c>
      <c r="J117" s="117">
        <f>ROUNDUP(' AZUL 2'!J234,0)</f>
        <v>3</v>
      </c>
      <c r="K117" s="117">
        <f>ROUNDUP(' AZUL 2'!K234,0)</f>
        <v>6</v>
      </c>
      <c r="L117" s="117">
        <f>ROUNDUP(' AZUL 2'!L234,0)</f>
        <v>4</v>
      </c>
      <c r="M117" s="117">
        <v>0</v>
      </c>
      <c r="N117" s="117">
        <f>ROUNDUP(' AZUL 2'!N234,0)</f>
        <v>12</v>
      </c>
      <c r="O117" s="33"/>
      <c r="P117" s="33"/>
      <c r="Q117" s="33"/>
    </row>
    <row r="118" spans="1:26" ht="15.75" customHeight="1">
      <c r="A118" s="22" t="s">
        <v>243</v>
      </c>
      <c r="B118" s="117">
        <v>0</v>
      </c>
      <c r="C118" s="117">
        <f>ROUNDUP(' AZUL 2'!C235,0)</f>
        <v>0</v>
      </c>
      <c r="D118" s="117">
        <f>ROUNDUP(' AZUL 2'!D235,0)</f>
        <v>0</v>
      </c>
      <c r="E118" s="117">
        <f>ROUNDUP(' AZUL 2'!E235,0)</f>
        <v>0</v>
      </c>
      <c r="F118" s="117">
        <f>ROUNDUP(' AZUL 2'!F235,0)</f>
        <v>0</v>
      </c>
      <c r="G118" s="117">
        <f>ROUNDUP(' AZUL 2'!G235,0)</f>
        <v>0</v>
      </c>
      <c r="H118" s="117">
        <f>ROUNDUP(' AZUL 2'!H235,0)</f>
        <v>0</v>
      </c>
      <c r="I118" s="117">
        <f>ROUNDUP(' AZUL 2'!I235,0)</f>
        <v>0</v>
      </c>
      <c r="J118" s="117">
        <f>ROUNDUP(' AZUL 2'!J235,0)</f>
        <v>0</v>
      </c>
      <c r="K118" s="117">
        <f>ROUNDUP(' AZUL 2'!K235,0)</f>
        <v>0</v>
      </c>
      <c r="L118" s="117">
        <f>ROUNDUP(' AZUL 2'!L235,0)</f>
        <v>0</v>
      </c>
      <c r="M118" s="117">
        <v>0</v>
      </c>
      <c r="N118" s="117">
        <f>ROUNDUP(' AZUL 2'!N235,0)</f>
        <v>0</v>
      </c>
      <c r="O118" s="33"/>
      <c r="P118" s="33"/>
      <c r="Q118" s="33"/>
    </row>
    <row r="119" spans="1:26" ht="15.75" customHeight="1">
      <c r="A119" s="22" t="s">
        <v>244</v>
      </c>
      <c r="B119" s="117">
        <v>0</v>
      </c>
      <c r="C119" s="117">
        <f>ROUNDUP(' AZUL 2'!C236,0)</f>
        <v>0</v>
      </c>
      <c r="D119" s="117">
        <f>ROUNDUP(' AZUL 2'!D236,0)</f>
        <v>0</v>
      </c>
      <c r="E119" s="117">
        <f>ROUNDUP(' AZUL 2'!E236,0)</f>
        <v>0</v>
      </c>
      <c r="F119" s="117">
        <f>ROUNDUP(' AZUL 2'!F236,0)</f>
        <v>0</v>
      </c>
      <c r="G119" s="117">
        <f>ROUNDUP(' AZUL 2'!G236,0)</f>
        <v>0</v>
      </c>
      <c r="H119" s="117">
        <f>ROUNDUP(' AZUL 2'!H236,0)</f>
        <v>0</v>
      </c>
      <c r="I119" s="117">
        <f>ROUNDUP(' AZUL 2'!I236,0)</f>
        <v>0</v>
      </c>
      <c r="J119" s="117">
        <f>ROUNDUP(' AZUL 2'!J236,0)</f>
        <v>0</v>
      </c>
      <c r="K119" s="117">
        <f>ROUNDUP(' AZUL 2'!K236,0)</f>
        <v>0</v>
      </c>
      <c r="L119" s="117">
        <f>ROUNDUP(' AZUL 2'!L236,0)</f>
        <v>0</v>
      </c>
      <c r="M119" s="117">
        <f>ROUNDUP(' AZUL 2'!M236,0)</f>
        <v>0</v>
      </c>
      <c r="N119" s="117">
        <f>ROUNDUP(' AZUL 2'!N236,0)</f>
        <v>0</v>
      </c>
      <c r="O119" s="33"/>
      <c r="P119" s="33"/>
      <c r="Q119" s="33"/>
    </row>
    <row r="120" spans="1:26" ht="15.75" customHeight="1">
      <c r="A120" s="22" t="s">
        <v>105</v>
      </c>
      <c r="B120" s="117">
        <v>0</v>
      </c>
      <c r="C120" s="117">
        <f>ROUNDUP(' AZUL 2'!C237,0)</f>
        <v>10</v>
      </c>
      <c r="D120" s="117">
        <f>ROUNDUP(' AZUL 2'!D237,0)</f>
        <v>0</v>
      </c>
      <c r="E120" s="117">
        <f>ROUNDUP(' AZUL 2'!E237,0)</f>
        <v>0</v>
      </c>
      <c r="F120" s="117">
        <f>ROUNDUP(' AZUL 2'!F237,0)</f>
        <v>6</v>
      </c>
      <c r="G120" s="117">
        <f>ROUNDUP(' AZUL 2'!G237,0)</f>
        <v>4</v>
      </c>
      <c r="H120" s="117">
        <f>ROUNDUP(' AZUL 2'!H237,0)</f>
        <v>4</v>
      </c>
      <c r="I120" s="117">
        <v>0</v>
      </c>
      <c r="J120" s="117">
        <f>ROUNDUP(' AZUL 2'!J237,0)</f>
        <v>2</v>
      </c>
      <c r="K120" s="117">
        <f>ROUNDUP(' AZUL 2'!K237,0)</f>
        <v>4</v>
      </c>
      <c r="L120" s="117">
        <v>0</v>
      </c>
      <c r="M120" s="117">
        <v>0</v>
      </c>
      <c r="N120" s="117">
        <v>0</v>
      </c>
      <c r="O120" s="33"/>
      <c r="P120" s="33"/>
      <c r="Q120" s="33"/>
    </row>
    <row r="121" spans="1:26" ht="15.75" customHeight="1">
      <c r="A121" s="22" t="s">
        <v>245</v>
      </c>
      <c r="B121" s="117">
        <f>ROUNDUP(' AZUL 2'!B238,0)</f>
        <v>1</v>
      </c>
      <c r="C121" s="117">
        <f>ROUNDUP(' AZUL 2'!C238,0)</f>
        <v>1</v>
      </c>
      <c r="D121" s="117">
        <f>ROUNDUP(' AZUL 2'!D238,0)</f>
        <v>0</v>
      </c>
      <c r="E121" s="117">
        <f>ROUNDUP(' AZUL 2'!E238,0)</f>
        <v>0</v>
      </c>
      <c r="F121" s="117">
        <f>ROUNDUP(' AZUL 2'!F238,0)</f>
        <v>1</v>
      </c>
      <c r="G121" s="117">
        <f>ROUNDUP(' AZUL 2'!G238,0)</f>
        <v>1</v>
      </c>
      <c r="H121" s="117">
        <f>ROUNDUP(' AZUL 2'!H238,0)</f>
        <v>1</v>
      </c>
      <c r="I121" s="117">
        <v>0</v>
      </c>
      <c r="J121" s="117">
        <f>ROUNDUP(' AZUL 2'!J238,0)</f>
        <v>1</v>
      </c>
      <c r="K121" s="117">
        <v>0</v>
      </c>
      <c r="L121" s="117">
        <v>0</v>
      </c>
      <c r="M121" s="117">
        <v>0</v>
      </c>
      <c r="N121" s="117">
        <f>ROUNDUP(' AZUL 2'!N238,0)</f>
        <v>1</v>
      </c>
    </row>
    <row r="122" spans="1:26" ht="15.75" customHeight="1">
      <c r="A122" s="22" t="s">
        <v>246</v>
      </c>
      <c r="B122" s="117">
        <f>ROUNDUP(' AZUL 2'!B239,0)</f>
        <v>10</v>
      </c>
      <c r="C122" s="117">
        <v>0</v>
      </c>
      <c r="D122" s="117">
        <f>ROUNDUP(' AZUL 2'!D239,0)</f>
        <v>0</v>
      </c>
      <c r="E122" s="117">
        <f>ROUNDUP(' AZUL 2'!E239,0)</f>
        <v>0</v>
      </c>
      <c r="F122" s="117">
        <f>ROUNDUP(' AZUL 2'!F239,0)</f>
        <v>14</v>
      </c>
      <c r="G122" s="117">
        <f>ROUNDUP(' AZUL 2'!G239,0)</f>
        <v>0</v>
      </c>
      <c r="H122" s="117">
        <f>ROUNDUP(' AZUL 2'!H239,0)</f>
        <v>1</v>
      </c>
      <c r="I122" s="117">
        <f>ROUNDUP(' AZUL 2'!I239,0)</f>
        <v>1</v>
      </c>
      <c r="J122" s="117">
        <f>ROUNDUP(' AZUL 2'!J239,0)</f>
        <v>1</v>
      </c>
      <c r="K122" s="117">
        <f>ROUNDUP(' AZUL 2'!K239,0)</f>
        <v>1</v>
      </c>
      <c r="L122" s="117">
        <f>ROUNDUP(' AZUL 2'!L239,0)</f>
        <v>1</v>
      </c>
      <c r="M122" s="117">
        <f>ROUNDUP(' AZUL 2'!M239,0)</f>
        <v>1</v>
      </c>
      <c r="N122" s="117">
        <v>0</v>
      </c>
    </row>
    <row r="123" spans="1:26" ht="15.75" customHeight="1">
      <c r="A123" s="22" t="s">
        <v>108</v>
      </c>
      <c r="B123" s="117">
        <f>ROUNDUP(' AZUL 2'!B240,0)</f>
        <v>7</v>
      </c>
      <c r="C123" s="117">
        <f>ROUNDUP(' AZUL 2'!C240,0)</f>
        <v>15</v>
      </c>
      <c r="D123" s="117">
        <f>ROUNDUP(' AZUL 2'!D240,0)</f>
        <v>0</v>
      </c>
      <c r="E123" s="117">
        <f>ROUNDUP(' AZUL 2'!E240,0)</f>
        <v>0</v>
      </c>
      <c r="F123" s="117">
        <f>ROUNDUP(' AZUL 2'!F240,0)</f>
        <v>9</v>
      </c>
      <c r="G123" s="117">
        <f>ROUNDUP(' AZUL 2'!G240,0)</f>
        <v>5</v>
      </c>
      <c r="H123" s="117">
        <f>ROUNDUP(' AZUL 2'!H240,0)</f>
        <v>6</v>
      </c>
      <c r="I123" s="117">
        <f>ROUNDUP(' AZUL 2'!I240,0)</f>
        <v>3</v>
      </c>
      <c r="J123" s="117">
        <f>ROUNDUP(' AZUL 2'!J240,0)</f>
        <v>3</v>
      </c>
      <c r="K123" s="117">
        <f>ROUNDUP(' AZUL 2'!K240,0)</f>
        <v>5</v>
      </c>
      <c r="L123" s="117">
        <v>0</v>
      </c>
      <c r="M123" s="117">
        <v>0</v>
      </c>
      <c r="N123" s="117">
        <f>ROUNDUP(' AZUL 2'!N240,0)</f>
        <v>10</v>
      </c>
    </row>
    <row r="124" spans="1:26" ht="15.75" customHeight="1">
      <c r="A124" s="111" t="s">
        <v>109</v>
      </c>
      <c r="B124" s="117">
        <v>0</v>
      </c>
      <c r="C124" s="117">
        <v>0</v>
      </c>
      <c r="D124" s="117">
        <f>ROUNDUP(' AZUL 2'!D241,0)</f>
        <v>0</v>
      </c>
      <c r="E124" s="117">
        <f>ROUNDUP(' AZUL 2'!E241,0)</f>
        <v>0</v>
      </c>
      <c r="F124" s="117">
        <v>0</v>
      </c>
      <c r="G124" s="117">
        <f>ROUNDUP(' AZUL 2'!G241,0)</f>
        <v>2</v>
      </c>
      <c r="H124" s="117">
        <f>ROUNDUP(' AZUL 2'!H241,0)</f>
        <v>3</v>
      </c>
      <c r="I124" s="117">
        <v>0</v>
      </c>
      <c r="J124" s="117">
        <f>ROUNDUP(' AZUL 2'!J241,0)</f>
        <v>1</v>
      </c>
      <c r="K124" s="117">
        <v>0</v>
      </c>
      <c r="L124" s="117">
        <f>ROUNDUP(' AZUL 2'!L241,0)</f>
        <v>2</v>
      </c>
      <c r="M124" s="117">
        <v>0</v>
      </c>
      <c r="N124" s="117">
        <v>0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11" t="s">
        <v>110</v>
      </c>
      <c r="B125" s="117">
        <v>0</v>
      </c>
      <c r="C125" s="117">
        <v>0</v>
      </c>
      <c r="D125" s="117">
        <f>ROUNDUP(' AZUL 2'!D242,0)</f>
        <v>0</v>
      </c>
      <c r="E125" s="117">
        <f>ROUNDUP(' AZUL 2'!E242,0)</f>
        <v>0</v>
      </c>
      <c r="F125" s="117">
        <f>ROUNDUP(' AZUL 2'!F242,0)</f>
        <v>1</v>
      </c>
      <c r="G125" s="117">
        <f>ROUNDUP(' AZUL 2'!G242,0)</f>
        <v>1</v>
      </c>
      <c r="H125" s="117">
        <f>ROUNDUP(' AZUL 2'!H242,0)</f>
        <v>1</v>
      </c>
      <c r="I125" s="117">
        <v>0</v>
      </c>
      <c r="J125" s="117">
        <f>ROUNDUP(' AZUL 2'!J242,0)</f>
        <v>1</v>
      </c>
      <c r="K125" s="117">
        <v>0</v>
      </c>
      <c r="L125" s="117">
        <f>ROUNDUP(' AZUL 2'!L242,0)</f>
        <v>1</v>
      </c>
      <c r="M125" s="117">
        <v>0</v>
      </c>
      <c r="N125" s="117">
        <v>0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11" t="s">
        <v>111</v>
      </c>
      <c r="B126" s="117">
        <f>ROUNDUP(' AZUL 2'!B243,0)</f>
        <v>0</v>
      </c>
      <c r="C126" s="117">
        <f>ROUNDUP(' AZUL 2'!C243,0)</f>
        <v>0</v>
      </c>
      <c r="D126" s="117">
        <f>ROUNDUP(' AZUL 2'!D243,0)</f>
        <v>0</v>
      </c>
      <c r="E126" s="117">
        <f>ROUNDUP(' AZUL 2'!E243,0)</f>
        <v>0</v>
      </c>
      <c r="F126" s="117">
        <f>ROUNDUP(' AZUL 2'!F243,0)</f>
        <v>0</v>
      </c>
      <c r="G126" s="117">
        <f>ROUNDUP(' AZUL 2'!G243,0)</f>
        <v>0</v>
      </c>
      <c r="H126" s="117">
        <f>ROUNDUP(' AZUL 2'!H243,0)</f>
        <v>0</v>
      </c>
      <c r="I126" s="117">
        <v>0</v>
      </c>
      <c r="J126" s="117">
        <f>ROUNDUP(' AZUL 2'!J243,0)</f>
        <v>0</v>
      </c>
      <c r="K126" s="117">
        <v>0</v>
      </c>
      <c r="L126" s="117">
        <f>ROUNDUP(' AZUL 2'!L243,0)</f>
        <v>0</v>
      </c>
      <c r="M126" s="117">
        <v>0</v>
      </c>
      <c r="N126" s="117">
        <f>ROUNDUP(' AZUL 2'!N243,0)</f>
        <v>0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11" t="s">
        <v>112</v>
      </c>
      <c r="B127" s="117">
        <v>0</v>
      </c>
      <c r="C127" s="117">
        <f>ROUNDUP(' AZUL 2'!C244,0)</f>
        <v>8</v>
      </c>
      <c r="D127" s="117">
        <f>ROUNDUP(' AZUL 2'!D244,0)</f>
        <v>0</v>
      </c>
      <c r="E127" s="117">
        <f>ROUNDUP(' AZUL 2'!E244,0)</f>
        <v>0</v>
      </c>
      <c r="F127" s="117">
        <f>ROUNDUP(' AZUL 2'!F244,0)</f>
        <v>5</v>
      </c>
      <c r="G127" s="117">
        <f>ROUNDUP(' AZUL 2'!G244,0)</f>
        <v>3</v>
      </c>
      <c r="H127" s="117">
        <f>ROUNDUP(' AZUL 2'!H244,0)</f>
        <v>4</v>
      </c>
      <c r="I127" s="117">
        <f>ROUNDUP(' AZUL 2'!I244,0)</f>
        <v>2</v>
      </c>
      <c r="J127" s="117">
        <f>ROUNDUP(' AZUL 2'!J244,0)</f>
        <v>2</v>
      </c>
      <c r="K127" s="117">
        <f>ROUNDUP(' AZUL 2'!K244,0)</f>
        <v>3</v>
      </c>
      <c r="L127" s="117">
        <f>ROUNDUP(' AZUL 2'!L244,0)</f>
        <v>2</v>
      </c>
      <c r="M127" s="117">
        <f>ROUNDUP(' AZUL 2'!M244,0)</f>
        <v>1</v>
      </c>
      <c r="N127" s="117">
        <f>ROUNDUP(' AZUL 2'!N244,0)</f>
        <v>6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11" t="s">
        <v>113</v>
      </c>
      <c r="B128" s="117">
        <f>ROUNDUP(' AZUL 2'!B245,0)</f>
        <v>6</v>
      </c>
      <c r="C128" s="117">
        <f>ROUNDUP(' AZUL 2'!C245,0)</f>
        <v>12</v>
      </c>
      <c r="D128" s="117">
        <f>ROUNDUP(' AZUL 2'!D245,0)</f>
        <v>0</v>
      </c>
      <c r="E128" s="117">
        <f>ROUNDUP(' AZUL 2'!E245,0)</f>
        <v>0</v>
      </c>
      <c r="F128" s="117">
        <f>ROUNDUP(' AZUL 2'!F245,0)</f>
        <v>8</v>
      </c>
      <c r="G128" s="117">
        <f>ROUNDUP(' AZUL 2'!G245,0)</f>
        <v>5</v>
      </c>
      <c r="H128" s="117">
        <f>ROUNDUP(' AZUL 2'!H245,0)</f>
        <v>5</v>
      </c>
      <c r="I128" s="117">
        <f>ROUNDUP(' AZUL 2'!I245,0)</f>
        <v>2</v>
      </c>
      <c r="J128" s="117">
        <f>ROUNDUP(' AZUL 2'!J245,0)</f>
        <v>2</v>
      </c>
      <c r="K128" s="117">
        <f>ROUNDUP(' AZUL 2'!K245,0)</f>
        <v>4</v>
      </c>
      <c r="L128" s="117">
        <f>ROUNDUP(' AZUL 2'!L245,0)</f>
        <v>3</v>
      </c>
      <c r="M128" s="117">
        <f>ROUNDUP(' AZUL 2'!M245,0)</f>
        <v>2</v>
      </c>
      <c r="N128" s="117">
        <f>ROUNDUP(' AZUL 2'!N245,0)</f>
        <v>8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11" t="s">
        <v>114</v>
      </c>
      <c r="B129" s="117">
        <v>0</v>
      </c>
      <c r="C129" s="117">
        <f>ROUNDUP(' AZUL 2'!C246,0)</f>
        <v>3</v>
      </c>
      <c r="D129" s="117">
        <f>ROUNDUP(' AZUL 2'!D246,0)</f>
        <v>0</v>
      </c>
      <c r="E129" s="117">
        <f>ROUNDUP(' AZUL 2'!E246,0)</f>
        <v>0</v>
      </c>
      <c r="F129" s="117">
        <f>ROUNDUP(' AZUL 2'!F246,0)</f>
        <v>2</v>
      </c>
      <c r="G129" s="117">
        <f>ROUNDUP(' AZUL 2'!G246,0)</f>
        <v>1</v>
      </c>
      <c r="H129" s="117">
        <f>ROUNDUP(' AZUL 2'!H246,0)</f>
        <v>2</v>
      </c>
      <c r="I129" s="117">
        <f>ROUNDUP(' AZUL 2'!I246,0)</f>
        <v>1</v>
      </c>
      <c r="J129" s="117">
        <f>ROUNDUP(' AZUL 2'!J246,0)</f>
        <v>1</v>
      </c>
      <c r="K129" s="117">
        <f>ROUNDUP(' AZUL 2'!K246,0)</f>
        <v>1</v>
      </c>
      <c r="L129" s="117">
        <f>ROUNDUP(' AZUL 2'!L246,0)</f>
        <v>1</v>
      </c>
      <c r="M129" s="117">
        <v>0</v>
      </c>
      <c r="N129" s="117">
        <f>ROUNDUP(' AZUL 2'!N246,0)</f>
        <v>2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12" t="s">
        <v>205</v>
      </c>
      <c r="B130" s="79">
        <v>0</v>
      </c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14" t="s">
        <v>206</v>
      </c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55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55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/>
    <row r="135" spans="1:26" ht="15.75" customHeight="1">
      <c r="B135" s="151" t="s">
        <v>73</v>
      </c>
      <c r="C135" s="151" t="s">
        <v>74</v>
      </c>
      <c r="D135" s="151" t="s">
        <v>75</v>
      </c>
      <c r="E135" s="151" t="s">
        <v>76</v>
      </c>
      <c r="F135" s="151" t="s">
        <v>77</v>
      </c>
      <c r="G135" s="151" t="s">
        <v>78</v>
      </c>
      <c r="H135" s="151" t="s">
        <v>79</v>
      </c>
      <c r="I135" s="151" t="s">
        <v>80</v>
      </c>
      <c r="J135" s="151" t="s">
        <v>81</v>
      </c>
      <c r="K135" s="151" t="s">
        <v>82</v>
      </c>
      <c r="L135" s="151" t="s">
        <v>83</v>
      </c>
      <c r="M135" s="151" t="s">
        <v>84</v>
      </c>
      <c r="N135" s="27" t="s">
        <v>85</v>
      </c>
      <c r="O135" s="26" t="s">
        <v>86</v>
      </c>
      <c r="P135" s="151" t="s">
        <v>87</v>
      </c>
      <c r="Q135" s="151" t="s">
        <v>88</v>
      </c>
    </row>
    <row r="136" spans="1:26" ht="15.75" customHeight="1">
      <c r="B136" s="19">
        <v>160</v>
      </c>
      <c r="C136" s="19">
        <v>80</v>
      </c>
      <c r="D136" s="19">
        <v>156</v>
      </c>
      <c r="E136" s="19">
        <v>97</v>
      </c>
      <c r="F136" s="19">
        <v>2</v>
      </c>
      <c r="G136" s="19">
        <v>78</v>
      </c>
      <c r="H136" s="19">
        <v>69</v>
      </c>
      <c r="I136" s="19">
        <v>61</v>
      </c>
      <c r="J136" s="19">
        <v>131</v>
      </c>
      <c r="K136" s="19">
        <v>75</v>
      </c>
      <c r="L136" s="19">
        <v>66</v>
      </c>
      <c r="M136" s="19">
        <v>80</v>
      </c>
      <c r="N136" s="19">
        <v>71</v>
      </c>
      <c r="O136" s="19">
        <v>69</v>
      </c>
      <c r="P136" s="19">
        <v>42</v>
      </c>
      <c r="Q136" s="45">
        <v>70</v>
      </c>
    </row>
    <row r="137" spans="1:26" ht="15.75" customHeight="1">
      <c r="B137" s="19">
        <v>0</v>
      </c>
      <c r="C137" s="19">
        <v>0</v>
      </c>
      <c r="D137" s="19">
        <v>0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  <c r="J137" s="19">
        <v>40</v>
      </c>
      <c r="K137" s="19">
        <v>0</v>
      </c>
      <c r="L137" s="19">
        <v>0</v>
      </c>
      <c r="M137" s="19">
        <v>0</v>
      </c>
      <c r="N137" s="19">
        <v>0</v>
      </c>
      <c r="O137" s="19">
        <v>0</v>
      </c>
      <c r="P137" s="19">
        <v>0</v>
      </c>
      <c r="Q137" s="147">
        <v>0</v>
      </c>
    </row>
    <row r="138" spans="1:26" ht="15.75" customHeight="1">
      <c r="A138" s="22" t="s">
        <v>247</v>
      </c>
      <c r="B138" s="119">
        <f>ROUNDUP(' AZUL 2'!B253,0)</f>
        <v>96</v>
      </c>
      <c r="C138" s="119">
        <v>0</v>
      </c>
      <c r="D138" s="119">
        <v>0</v>
      </c>
      <c r="E138" s="119">
        <v>0</v>
      </c>
      <c r="F138" s="119">
        <f>ROUNDUP(' AZUL 2'!F253,0)</f>
        <v>2</v>
      </c>
      <c r="G138" s="119">
        <v>0</v>
      </c>
      <c r="H138" s="119">
        <f>ROUNDUP(' AZUL 2'!H253,0)</f>
        <v>42</v>
      </c>
      <c r="I138" s="119">
        <f>ROUNDUP(' AZUL 2'!I253,0)</f>
        <v>37</v>
      </c>
      <c r="J138" s="119">
        <v>0</v>
      </c>
      <c r="K138" s="119">
        <v>0</v>
      </c>
      <c r="L138" s="119">
        <v>0</v>
      </c>
      <c r="M138" s="119">
        <v>0</v>
      </c>
      <c r="N138" s="119">
        <f>ROUNDUP(' AZUL 2'!N253,0)</f>
        <v>43</v>
      </c>
      <c r="O138" s="119">
        <v>0</v>
      </c>
      <c r="P138" s="119">
        <f>ROUNDUP(' AZUL 2'!P253,0)</f>
        <v>26</v>
      </c>
      <c r="Q138" s="119">
        <v>0</v>
      </c>
    </row>
    <row r="139" spans="1:26" ht="15.75" customHeight="1">
      <c r="A139" s="22" t="s">
        <v>248</v>
      </c>
      <c r="B139" s="119">
        <v>0</v>
      </c>
      <c r="C139" s="119">
        <v>0</v>
      </c>
      <c r="D139" s="119">
        <v>0</v>
      </c>
      <c r="E139" s="119">
        <v>0</v>
      </c>
      <c r="F139" s="119">
        <f>ROUNDUP(' AZUL 2'!F254,0)</f>
        <v>1</v>
      </c>
      <c r="G139" s="119">
        <f>ROUNDUP(' AZUL 2'!G254,0)</f>
        <v>2</v>
      </c>
      <c r="H139" s="119">
        <f>ROUNDUP(' AZUL 2'!H254,0)</f>
        <v>2</v>
      </c>
      <c r="I139" s="119">
        <f>ROUNDUP(' AZUL 2'!I254,0)</f>
        <v>1</v>
      </c>
      <c r="J139" s="119">
        <f>ROUNDUP(' AZUL 2'!J254,0)</f>
        <v>3</v>
      </c>
      <c r="K139" s="119">
        <f>ROUNDUP(' AZUL 2'!K254,0)</f>
        <v>2</v>
      </c>
      <c r="L139" s="119">
        <f>ROUNDUP(' AZUL 2'!L254,0)</f>
        <v>1</v>
      </c>
      <c r="M139" s="119">
        <v>0</v>
      </c>
      <c r="N139" s="119">
        <f>ROUNDUP(' AZUL 2'!N254,0)</f>
        <v>2</v>
      </c>
      <c r="O139" s="119">
        <v>0</v>
      </c>
      <c r="P139" s="119">
        <f>ROUNDUP(' AZUL 2'!P254,0)</f>
        <v>1</v>
      </c>
      <c r="Q139" s="119">
        <f>ROUNDUP(' AZUL 2'!Q254,0)</f>
        <v>2</v>
      </c>
    </row>
    <row r="140" spans="1:26" ht="15.75" customHeight="1">
      <c r="A140" s="22" t="s">
        <v>249</v>
      </c>
      <c r="B140" s="119">
        <v>0</v>
      </c>
      <c r="C140" s="119">
        <v>0</v>
      </c>
      <c r="D140" s="119">
        <v>0</v>
      </c>
      <c r="E140" s="119">
        <v>0</v>
      </c>
      <c r="F140" s="119">
        <v>0</v>
      </c>
      <c r="G140" s="119">
        <v>0</v>
      </c>
      <c r="H140" s="119">
        <v>0</v>
      </c>
      <c r="I140" s="119">
        <v>0</v>
      </c>
      <c r="J140" s="119">
        <v>0</v>
      </c>
      <c r="K140" s="119">
        <v>0</v>
      </c>
      <c r="L140" s="119">
        <v>2</v>
      </c>
      <c r="M140" s="119">
        <v>0</v>
      </c>
      <c r="N140" s="119">
        <f>ROUNDUP(' AZUL 2'!N255,0)</f>
        <v>5</v>
      </c>
      <c r="O140" s="119">
        <v>0</v>
      </c>
      <c r="P140" s="119">
        <v>0</v>
      </c>
      <c r="Q140" s="119">
        <v>0</v>
      </c>
    </row>
    <row r="141" spans="1:26" ht="15.75" customHeight="1">
      <c r="A141" s="22" t="s">
        <v>95</v>
      </c>
      <c r="B141" s="119">
        <v>0</v>
      </c>
      <c r="C141" s="119">
        <v>0</v>
      </c>
      <c r="D141" s="119">
        <v>0</v>
      </c>
      <c r="E141" s="119">
        <v>0</v>
      </c>
      <c r="F141" s="119">
        <f>ROUNDUP(' AZUL 2'!F256,0)</f>
        <v>1</v>
      </c>
      <c r="G141" s="119">
        <v>0</v>
      </c>
      <c r="H141" s="119">
        <v>0</v>
      </c>
      <c r="I141" s="119">
        <f>ROUNDUP(' AZUL 2'!I256,0)</f>
        <v>4</v>
      </c>
      <c r="J141" s="119">
        <f>ROUNDUP(' AZUL 2'!J256,0)</f>
        <v>8</v>
      </c>
      <c r="K141" s="119">
        <f>ROUNDUP(' AZUL 2'!K256,0)</f>
        <v>5</v>
      </c>
      <c r="L141" s="119">
        <v>3</v>
      </c>
      <c r="M141" s="119">
        <v>0</v>
      </c>
      <c r="N141" s="119">
        <f>ROUNDUP(' AZUL 2'!N256,0)</f>
        <v>4</v>
      </c>
      <c r="O141" s="119">
        <v>0</v>
      </c>
      <c r="P141" s="119">
        <f>ROUNDUP(' AZUL 2'!P256,0)</f>
        <v>3</v>
      </c>
      <c r="Q141" s="119">
        <f>ROUNDUP(' AZUL 2'!Q256,0)</f>
        <v>4</v>
      </c>
    </row>
    <row r="142" spans="1:26" ht="15.75" customHeight="1">
      <c r="A142" s="22" t="s">
        <v>250</v>
      </c>
      <c r="B142" s="119">
        <v>0</v>
      </c>
      <c r="C142" s="119">
        <v>0</v>
      </c>
      <c r="D142" s="119">
        <v>0</v>
      </c>
      <c r="E142" s="119">
        <f>ROUNDUP(' AZUL 2'!E257,0)</f>
        <v>8</v>
      </c>
      <c r="F142" s="119">
        <f>ROUNDUP(' AZUL 2'!F257,0)</f>
        <v>1</v>
      </c>
      <c r="G142" s="119">
        <v>0</v>
      </c>
      <c r="H142" s="119">
        <v>0</v>
      </c>
      <c r="I142" s="119">
        <f>ROUNDUP(' AZUL 2'!I257,0)</f>
        <v>5</v>
      </c>
      <c r="J142" s="119">
        <f>ROUNDUP(' AZUL 2'!J257,0)</f>
        <v>10</v>
      </c>
      <c r="K142" s="119">
        <f>ROUNDUP(' AZUL 2'!K257,0)</f>
        <v>6</v>
      </c>
      <c r="L142" s="119">
        <v>4</v>
      </c>
      <c r="M142" s="119">
        <v>0</v>
      </c>
      <c r="N142" s="119">
        <f>ROUNDUP(' AZUL 2'!N257,0)</f>
        <v>6</v>
      </c>
      <c r="O142" s="119">
        <v>0</v>
      </c>
      <c r="P142" s="119">
        <f>ROUNDUP(' AZUL 2'!P257,0)</f>
        <v>4</v>
      </c>
      <c r="Q142" s="119">
        <v>0</v>
      </c>
    </row>
    <row r="143" spans="1:26" ht="15.75" customHeight="1">
      <c r="A143" s="22" t="s">
        <v>251</v>
      </c>
      <c r="B143" s="119">
        <f>ROUNDUP(' AZUL 2'!B258,0)</f>
        <v>4</v>
      </c>
      <c r="C143" s="119">
        <v>0</v>
      </c>
      <c r="D143" s="119">
        <v>0</v>
      </c>
      <c r="E143" s="119">
        <f>ROUNDUP(' AZUL 2'!E258,0)</f>
        <v>2</v>
      </c>
      <c r="F143" s="119">
        <v>0</v>
      </c>
      <c r="G143" s="119">
        <v>0</v>
      </c>
      <c r="H143" s="119">
        <f>ROUNDUP(' AZUL 2'!H258,0)</f>
        <v>2</v>
      </c>
      <c r="I143" s="119">
        <v>1</v>
      </c>
      <c r="J143" s="119">
        <f>ROUNDUP(' AZUL 2'!J258,0)</f>
        <v>3</v>
      </c>
      <c r="K143" s="119">
        <f>ROUNDUP(' AZUL 2'!K258,0)</f>
        <v>2</v>
      </c>
      <c r="L143" s="119">
        <v>1</v>
      </c>
      <c r="M143" s="119">
        <f>ROUNDUP(' AZUL 2'!M258,0)</f>
        <v>2</v>
      </c>
      <c r="N143" s="119">
        <f>ROUNDUP(' AZUL 2'!N258,0)</f>
        <v>2</v>
      </c>
      <c r="O143" s="119">
        <v>0</v>
      </c>
      <c r="P143" s="119">
        <f>ROUNDUP(' AZUL 2'!P258,0)</f>
        <v>1</v>
      </c>
      <c r="Q143" s="119">
        <f>ROUNDUP(' AZUL 2'!Q258,0)</f>
        <v>2</v>
      </c>
    </row>
    <row r="144" spans="1:26" ht="15.75" customHeight="1">
      <c r="A144" s="22" t="s">
        <v>98</v>
      </c>
      <c r="B144" s="119">
        <f>ROUNDUP(' AZUL 2'!B259,0)</f>
        <v>0</v>
      </c>
      <c r="C144" s="119">
        <v>0</v>
      </c>
      <c r="D144" s="119">
        <v>0</v>
      </c>
      <c r="E144" s="119">
        <f>ROUNDUP(' AZUL 2'!E259,0)</f>
        <v>0</v>
      </c>
      <c r="F144" s="119">
        <f>ROUNDUP(' AZUL 2'!F259,0)</f>
        <v>0</v>
      </c>
      <c r="G144" s="119">
        <f>ROUNDUP(' AZUL 2'!G259,0)</f>
        <v>0</v>
      </c>
      <c r="H144" s="119">
        <f>ROUNDUP(' AZUL 2'!H259,0)</f>
        <v>0</v>
      </c>
      <c r="I144" s="119">
        <f>ROUNDUP(' AZUL 2'!I259,0)</f>
        <v>0</v>
      </c>
      <c r="J144" s="119">
        <f>ROUNDUP(' AZUL 2'!J259,0)</f>
        <v>2</v>
      </c>
      <c r="K144" s="119">
        <f>ROUNDUP(' AZUL 2'!K259,0)</f>
        <v>0</v>
      </c>
      <c r="L144" s="119">
        <f>ROUNDUP(' AZUL 2'!L259,0)</f>
        <v>0</v>
      </c>
      <c r="M144" s="119">
        <f>ROUNDUP(' AZUL 2'!M259,0)</f>
        <v>0</v>
      </c>
      <c r="N144" s="119">
        <f>ROUNDUP(' AZUL 2'!N259,0)</f>
        <v>0</v>
      </c>
      <c r="O144" s="119">
        <v>0</v>
      </c>
      <c r="P144" s="119">
        <f>ROUNDUP(' AZUL 2'!P259,0)</f>
        <v>0</v>
      </c>
      <c r="Q144" s="119">
        <f>ROUNDUP(' AZUL 2'!Q259,0)</f>
        <v>0</v>
      </c>
    </row>
    <row r="145" spans="1:17" ht="15.75" customHeight="1">
      <c r="A145" s="22" t="s">
        <v>252</v>
      </c>
      <c r="B145" s="119">
        <f>ROUNDUP(' AZUL 2'!B260,0)</f>
        <v>0</v>
      </c>
      <c r="C145" s="119">
        <f>ROUNDUP(' AZUL 2'!C260,0)</f>
        <v>0</v>
      </c>
      <c r="D145" s="119">
        <v>0</v>
      </c>
      <c r="E145" s="119">
        <f>ROUNDUP(' AZUL 2'!E260,0)</f>
        <v>0</v>
      </c>
      <c r="F145" s="119">
        <f>ROUNDUP(' AZUL 2'!F260,0)</f>
        <v>0</v>
      </c>
      <c r="G145" s="119">
        <f>ROUNDUP(' AZUL 2'!G260,0)</f>
        <v>0</v>
      </c>
      <c r="H145" s="119">
        <f>ROUNDUP(' AZUL 2'!H260,0)</f>
        <v>0</v>
      </c>
      <c r="I145" s="119">
        <f>ROUNDUP(' AZUL 2'!I260,0)</f>
        <v>0</v>
      </c>
      <c r="J145" s="119">
        <v>0</v>
      </c>
      <c r="K145" s="119">
        <f>ROUNDUP(' AZUL 2'!K260,0)</f>
        <v>0</v>
      </c>
      <c r="L145" s="119">
        <f>ROUNDUP(' AZUL 2'!L260,0)</f>
        <v>0</v>
      </c>
      <c r="M145" s="119">
        <f>ROUNDUP(' AZUL 2'!M260,0)</f>
        <v>0</v>
      </c>
      <c r="N145" s="119">
        <f>ROUNDUP(' AZUL 2'!N260,0)</f>
        <v>0</v>
      </c>
      <c r="O145" s="119">
        <f>ROUNDUP(' AZUL 2'!O260,0)</f>
        <v>0</v>
      </c>
      <c r="P145" s="119">
        <f>ROUNDUP(' AZUL 2'!P260,0)</f>
        <v>0</v>
      </c>
      <c r="Q145" s="119">
        <f>ROUNDUP(' AZUL 2'!Q260,0)</f>
        <v>0</v>
      </c>
    </row>
    <row r="146" spans="1:17" ht="15.75" customHeight="1">
      <c r="A146" s="22" t="s">
        <v>253</v>
      </c>
      <c r="B146" s="119">
        <f>ROUNDUP(' AZUL 2'!B261,0)</f>
        <v>0</v>
      </c>
      <c r="C146" s="119">
        <f>ROUNDUP(' AZUL 2'!C261,0)</f>
        <v>0</v>
      </c>
      <c r="D146" s="119">
        <v>0</v>
      </c>
      <c r="E146" s="119">
        <f>ROUNDUP(' AZUL 2'!E261,0)</f>
        <v>0</v>
      </c>
      <c r="F146" s="119">
        <f>ROUNDUP(' AZUL 2'!F261,0)</f>
        <v>0</v>
      </c>
      <c r="G146" s="119">
        <f>ROUNDUP(' AZUL 2'!G261,0)</f>
        <v>0</v>
      </c>
      <c r="H146" s="119">
        <f>ROUNDUP(' AZUL 2'!H261,0)</f>
        <v>0</v>
      </c>
      <c r="I146" s="119">
        <f>ROUNDUP(' AZUL 2'!I261,0)</f>
        <v>0</v>
      </c>
      <c r="J146" s="119">
        <v>0</v>
      </c>
      <c r="K146" s="119">
        <f>ROUNDUP(' AZUL 2'!K261,0)</f>
        <v>0</v>
      </c>
      <c r="L146" s="119">
        <f>ROUNDUP(' AZUL 2'!L261,0)</f>
        <v>0</v>
      </c>
      <c r="M146" s="119">
        <f>ROUNDUP(' AZUL 2'!M261,0)</f>
        <v>0</v>
      </c>
      <c r="N146" s="119">
        <f>ROUNDUP(' AZUL 2'!N261,0)</f>
        <v>0</v>
      </c>
      <c r="O146" s="119">
        <f>ROUNDUP(' AZUL 2'!O261,0)</f>
        <v>0</v>
      </c>
      <c r="P146" s="119">
        <f>ROUNDUP(' AZUL 2'!P261,0)</f>
        <v>0</v>
      </c>
      <c r="Q146" s="119">
        <f>ROUNDUP(' AZUL 2'!Q261,0)</f>
        <v>0</v>
      </c>
    </row>
    <row r="147" spans="1:17" ht="15.75" customHeight="1">
      <c r="A147" s="22" t="s">
        <v>254</v>
      </c>
      <c r="B147" s="119">
        <f>ROUNDUP(' AZUL 2'!B262,0)</f>
        <v>0</v>
      </c>
      <c r="C147" s="119">
        <f>ROUNDUP(' AZUL 2'!C262,0)</f>
        <v>0</v>
      </c>
      <c r="D147" s="119">
        <f>ROUNDUP(' AZUL 2'!D262,0)</f>
        <v>0</v>
      </c>
      <c r="E147" s="119">
        <f>ROUNDUP(' AZUL 2'!E262,0)</f>
        <v>0</v>
      </c>
      <c r="F147" s="119">
        <f>ROUNDUP(' AZUL 2'!F262,0)</f>
        <v>0</v>
      </c>
      <c r="G147" s="119">
        <f>ROUNDUP(' AZUL 2'!G262,0)</f>
        <v>0</v>
      </c>
      <c r="H147" s="119">
        <f>ROUNDUP(' AZUL 2'!H262,0)</f>
        <v>0</v>
      </c>
      <c r="I147" s="119">
        <f>ROUNDUP(' AZUL 2'!I262,0)</f>
        <v>0</v>
      </c>
      <c r="J147" s="119">
        <v>0</v>
      </c>
      <c r="K147" s="119">
        <f>ROUNDUP(' AZUL 2'!K262,0)</f>
        <v>0</v>
      </c>
      <c r="L147" s="119">
        <f>ROUNDUP(' AZUL 2'!L262,0)</f>
        <v>0</v>
      </c>
      <c r="M147" s="119">
        <f>ROUNDUP(' AZUL 2'!M262,0)</f>
        <v>0</v>
      </c>
      <c r="N147" s="119">
        <f>ROUNDUP(' AZUL 2'!N262,0)</f>
        <v>0</v>
      </c>
      <c r="O147" s="119">
        <f>ROUNDUP(' AZUL 2'!O262,0)</f>
        <v>0</v>
      </c>
      <c r="P147" s="119">
        <f>ROUNDUP(' AZUL 2'!P262,0)</f>
        <v>0</v>
      </c>
      <c r="Q147" s="119">
        <f>ROUNDUP(' AZUL 2'!Q262,0)</f>
        <v>0</v>
      </c>
    </row>
    <row r="148" spans="1:17" ht="15.75" customHeight="1">
      <c r="A148" s="22" t="s">
        <v>255</v>
      </c>
      <c r="B148" s="119">
        <f>ROUNDUP(' AZUL 2'!B263,0)</f>
        <v>0</v>
      </c>
      <c r="C148" s="119">
        <f>ROUNDUP(' AZUL 2'!C263,0)</f>
        <v>0</v>
      </c>
      <c r="D148" s="119">
        <f>ROUNDUP(' AZUL 2'!D263,0)</f>
        <v>0</v>
      </c>
      <c r="E148" s="119">
        <f>ROUNDUP(' AZUL 2'!E263,0)</f>
        <v>0</v>
      </c>
      <c r="F148" s="119">
        <f>ROUNDUP(' AZUL 2'!F263,0)</f>
        <v>0</v>
      </c>
      <c r="G148" s="119">
        <f>ROUNDUP(' AZUL 2'!G263,0)</f>
        <v>0</v>
      </c>
      <c r="H148" s="119">
        <f>ROUNDUP(' AZUL 2'!H263,0)</f>
        <v>0</v>
      </c>
      <c r="I148" s="119">
        <f>ROUNDUP(' AZUL 2'!I263,0)</f>
        <v>0</v>
      </c>
      <c r="J148" s="119">
        <v>0</v>
      </c>
      <c r="K148" s="119">
        <f>ROUNDUP(' AZUL 2'!K263,0)</f>
        <v>0</v>
      </c>
      <c r="L148" s="119">
        <f>ROUNDUP(' AZUL 2'!L263,0)</f>
        <v>0</v>
      </c>
      <c r="M148" s="119">
        <f>ROUNDUP(' AZUL 2'!M263,0)</f>
        <v>0</v>
      </c>
      <c r="N148" s="119">
        <f>ROUNDUP(' AZUL 2'!N263,0)</f>
        <v>0</v>
      </c>
      <c r="O148" s="119">
        <f>ROUNDUP(' AZUL 2'!O263,0)</f>
        <v>0</v>
      </c>
      <c r="P148" s="119">
        <f>ROUNDUP(' AZUL 2'!P263,0)</f>
        <v>0</v>
      </c>
      <c r="Q148" s="119">
        <f>ROUNDUP(' AZUL 2'!Q263,0)</f>
        <v>0</v>
      </c>
    </row>
    <row r="149" spans="1:17" ht="15.75" customHeight="1">
      <c r="A149" s="22" t="s">
        <v>256</v>
      </c>
      <c r="B149" s="119">
        <f>ROUNDUP(' AZUL 2'!B264,0)</f>
        <v>0</v>
      </c>
      <c r="C149" s="119">
        <f>ROUNDUP(' AZUL 2'!C264,0)</f>
        <v>0</v>
      </c>
      <c r="D149" s="119">
        <f>ROUNDUP(' AZUL 2'!D264,0)</f>
        <v>0</v>
      </c>
      <c r="E149" s="119">
        <f>ROUNDUP(' AZUL 2'!E264,0)</f>
        <v>0</v>
      </c>
      <c r="F149" s="119">
        <f>ROUNDUP(' AZUL 2'!F264,0)</f>
        <v>0</v>
      </c>
      <c r="G149" s="119">
        <f>ROUNDUP(' AZUL 2'!G264,0)</f>
        <v>0</v>
      </c>
      <c r="H149" s="119">
        <f>ROUNDUP(' AZUL 2'!H264,0)</f>
        <v>0</v>
      </c>
      <c r="I149" s="119">
        <f>ROUNDUP(' AZUL 2'!I264,0)</f>
        <v>0</v>
      </c>
      <c r="J149" s="119">
        <v>0</v>
      </c>
      <c r="K149" s="119">
        <f>ROUNDUP(' AZUL 2'!K264,0)</f>
        <v>0</v>
      </c>
      <c r="L149" s="119">
        <f>ROUNDUP(' AZUL 2'!L264,0)</f>
        <v>0</v>
      </c>
      <c r="M149" s="119">
        <f>ROUNDUP(' AZUL 2'!M264,0)</f>
        <v>0</v>
      </c>
      <c r="N149" s="119">
        <f>ROUNDUP(' AZUL 2'!N264,0)</f>
        <v>0</v>
      </c>
      <c r="O149" s="119">
        <f>ROUNDUP(' AZUL 2'!O264,0)</f>
        <v>0</v>
      </c>
      <c r="P149" s="119">
        <f>ROUNDUP(' AZUL 2'!P264,0)</f>
        <v>0</v>
      </c>
      <c r="Q149" s="119">
        <f>ROUNDUP(' AZUL 2'!Q264,0)</f>
        <v>0</v>
      </c>
    </row>
    <row r="150" spans="1:17" ht="15.75" customHeight="1">
      <c r="A150" s="22" t="s">
        <v>257</v>
      </c>
      <c r="B150" s="119">
        <f>ROUNDUP(' AZUL 2'!B265,0)</f>
        <v>0</v>
      </c>
      <c r="C150" s="119">
        <f>ROUNDUP(' AZUL 2'!C265,0)</f>
        <v>0</v>
      </c>
      <c r="D150" s="119">
        <f>ROUNDUP(' AZUL 2'!D265,0)</f>
        <v>0</v>
      </c>
      <c r="E150" s="119">
        <f>ROUNDUP(' AZUL 2'!E265,0)</f>
        <v>0</v>
      </c>
      <c r="F150" s="119">
        <f>ROUNDUP(' AZUL 2'!F265,0)</f>
        <v>0</v>
      </c>
      <c r="G150" s="119">
        <f>ROUNDUP(' AZUL 2'!G265,0)</f>
        <v>0</v>
      </c>
      <c r="H150" s="119">
        <f>ROUNDUP(' AZUL 2'!H265,0)</f>
        <v>0</v>
      </c>
      <c r="I150" s="119">
        <f>ROUNDUP(' AZUL 2'!I265,0)</f>
        <v>0</v>
      </c>
      <c r="J150" s="119">
        <v>0</v>
      </c>
      <c r="K150" s="119">
        <f>ROUNDUP(' AZUL 2'!K265,0)</f>
        <v>0</v>
      </c>
      <c r="L150" s="119">
        <f>ROUNDUP(' AZUL 2'!L265,0)</f>
        <v>0</v>
      </c>
      <c r="M150" s="119">
        <f>ROUNDUP(' AZUL 2'!M265,0)</f>
        <v>0</v>
      </c>
      <c r="N150" s="119">
        <f>ROUNDUP(' AZUL 2'!N265,0)</f>
        <v>0</v>
      </c>
      <c r="O150" s="119">
        <f>ROUNDUP(' AZUL 2'!O265,0)</f>
        <v>0</v>
      </c>
      <c r="P150" s="119">
        <f>ROUNDUP(' AZUL 2'!P265,0)</f>
        <v>0</v>
      </c>
      <c r="Q150" s="119">
        <f>ROUNDUP(' AZUL 2'!Q265,0)</f>
        <v>0</v>
      </c>
    </row>
    <row r="151" spans="1:17" ht="15.75" customHeight="1">
      <c r="A151" s="22" t="s">
        <v>105</v>
      </c>
      <c r="B151" s="119">
        <f>ROUNDUP(' AZUL 2'!B266,0)</f>
        <v>0</v>
      </c>
      <c r="C151" s="119">
        <f>ROUNDUP(' AZUL 2'!C266,0)</f>
        <v>0</v>
      </c>
      <c r="D151" s="119">
        <f>ROUNDUP(' AZUL 2'!D266,0)</f>
        <v>0</v>
      </c>
      <c r="E151" s="119">
        <f>ROUNDUP(' AZUL 2'!E266,0)</f>
        <v>0</v>
      </c>
      <c r="F151" s="119">
        <f>ROUNDUP(' AZUL 2'!F266,0)</f>
        <v>0</v>
      </c>
      <c r="G151" s="119">
        <f>ROUNDUP(' AZUL 2'!G266,0)</f>
        <v>0</v>
      </c>
      <c r="H151" s="119">
        <f>ROUNDUP(' AZUL 2'!H266,0)</f>
        <v>0</v>
      </c>
      <c r="I151" s="119">
        <f>ROUNDUP(' AZUL 2'!I266,0)</f>
        <v>0</v>
      </c>
      <c r="J151" s="119">
        <v>0</v>
      </c>
      <c r="K151" s="119">
        <f>ROUNDUP(' AZUL 2'!K266,0)</f>
        <v>0</v>
      </c>
      <c r="L151" s="119">
        <f>ROUNDUP(' AZUL 2'!L266,0)</f>
        <v>0</v>
      </c>
      <c r="M151" s="119">
        <f>ROUNDUP(' AZUL 2'!M266,0)</f>
        <v>0</v>
      </c>
      <c r="N151" s="119">
        <f>ROUNDUP(' AZUL 2'!N266,0)</f>
        <v>0</v>
      </c>
      <c r="O151" s="119">
        <f>ROUNDUP(' AZUL 2'!O266,0)</f>
        <v>0</v>
      </c>
      <c r="P151" s="119">
        <f>ROUNDUP(' AZUL 2'!P266,0)</f>
        <v>0</v>
      </c>
      <c r="Q151" s="119">
        <f>ROUNDUP(' AZUL 2'!Q266,0)</f>
        <v>0</v>
      </c>
    </row>
    <row r="152" spans="1:17" ht="15.75" customHeight="1">
      <c r="A152" s="22" t="s">
        <v>258</v>
      </c>
      <c r="B152" s="119">
        <f>ROUNDUP(' AZUL 2'!B267,0)</f>
        <v>0</v>
      </c>
      <c r="C152" s="119">
        <f>ROUNDUP(' AZUL 2'!C267,0)</f>
        <v>0</v>
      </c>
      <c r="D152" s="119">
        <f>ROUNDUP(' AZUL 2'!D267,0)</f>
        <v>0</v>
      </c>
      <c r="E152" s="119">
        <f>ROUNDUP(' AZUL 2'!E267,0)</f>
        <v>0</v>
      </c>
      <c r="F152" s="119">
        <f>ROUNDUP(' AZUL 2'!F267,0)</f>
        <v>0</v>
      </c>
      <c r="G152" s="119">
        <f>ROUNDUP(' AZUL 2'!G267,0)</f>
        <v>0</v>
      </c>
      <c r="H152" s="119">
        <f>ROUNDUP(' AZUL 2'!H267,0)</f>
        <v>0</v>
      </c>
      <c r="I152" s="119">
        <f>ROUNDUP(' AZUL 2'!I267,0)</f>
        <v>0</v>
      </c>
      <c r="J152" s="119">
        <f>ROUNDUP(' AZUL 2'!J267,0)</f>
        <v>1</v>
      </c>
      <c r="K152" s="119">
        <f>ROUNDUP(' AZUL 2'!K267,0)</f>
        <v>0</v>
      </c>
      <c r="L152" s="119">
        <f>ROUNDUP(' AZUL 2'!L267,0)</f>
        <v>0</v>
      </c>
      <c r="M152" s="119">
        <f>ROUNDUP(' AZUL 2'!M267,0)</f>
        <v>0</v>
      </c>
      <c r="N152" s="119">
        <f>ROUNDUP(' AZUL 2'!N267,0)</f>
        <v>0</v>
      </c>
      <c r="O152" s="119">
        <f>ROUNDUP(' AZUL 2'!O267,0)</f>
        <v>0</v>
      </c>
      <c r="P152" s="119">
        <f>ROUNDUP(' AZUL 2'!P267,0)</f>
        <v>0</v>
      </c>
      <c r="Q152" s="119">
        <f>ROUNDUP(' AZUL 2'!Q267,0)</f>
        <v>0</v>
      </c>
    </row>
    <row r="153" spans="1:17" ht="15.75" customHeight="1">
      <c r="A153" s="22" t="s">
        <v>259</v>
      </c>
      <c r="B153" s="119">
        <f>ROUNDUP(' AZUL 2'!B268,0)</f>
        <v>0</v>
      </c>
      <c r="C153" s="119">
        <f>ROUNDUP(' AZUL 2'!C268,0)</f>
        <v>0</v>
      </c>
      <c r="D153" s="119">
        <f>ROUNDUP(' AZUL 2'!D268,0)</f>
        <v>0</v>
      </c>
      <c r="E153" s="119">
        <f>ROUNDUP(' AZUL 2'!E268,0)</f>
        <v>0</v>
      </c>
      <c r="F153" s="119">
        <f>ROUNDUP(' AZUL 2'!F268,0)</f>
        <v>0</v>
      </c>
      <c r="G153" s="119">
        <f>ROUNDUP(' AZUL 2'!G268,0)</f>
        <v>0</v>
      </c>
      <c r="H153" s="119">
        <f>ROUNDUP(' AZUL 2'!H268,0)</f>
        <v>0</v>
      </c>
      <c r="I153" s="119">
        <f>ROUNDUP(' AZUL 2'!I268,0)</f>
        <v>0</v>
      </c>
      <c r="J153" s="119">
        <v>0</v>
      </c>
      <c r="K153" s="119">
        <f>ROUNDUP(' AZUL 2'!K268,0)</f>
        <v>0</v>
      </c>
      <c r="L153" s="119">
        <f>ROUNDUP(' AZUL 2'!L268,0)</f>
        <v>0</v>
      </c>
      <c r="M153" s="119">
        <f>ROUNDUP(' AZUL 2'!M268,0)</f>
        <v>0</v>
      </c>
      <c r="N153" s="119">
        <f>ROUNDUP(' AZUL 2'!N268,0)</f>
        <v>0</v>
      </c>
      <c r="O153" s="119">
        <f>ROUNDUP(' AZUL 2'!O268,0)</f>
        <v>0</v>
      </c>
      <c r="P153" s="119">
        <f>ROUNDUP(' AZUL 2'!P268,0)</f>
        <v>0</v>
      </c>
      <c r="Q153" s="119">
        <f>ROUNDUP(' AZUL 2'!Q268,0)</f>
        <v>0</v>
      </c>
    </row>
    <row r="154" spans="1:17" ht="15.75" customHeight="1">
      <c r="A154" s="22" t="s">
        <v>108</v>
      </c>
      <c r="B154" s="120">
        <f>ROUNDUP(' AZUL 2'!B269,0)</f>
        <v>0</v>
      </c>
      <c r="C154" s="120">
        <f>ROUNDUP(' AZUL 2'!C269,0)</f>
        <v>0</v>
      </c>
      <c r="D154" s="120">
        <f>ROUNDUP(' AZUL 2'!D269,0)</f>
        <v>0</v>
      </c>
      <c r="E154" s="120">
        <f>ROUNDUP(' AZUL 2'!E269,0)</f>
        <v>0</v>
      </c>
      <c r="F154" s="120">
        <f>ROUNDUP(' AZUL 2'!F269,0)</f>
        <v>0</v>
      </c>
      <c r="G154" s="120">
        <f>ROUNDUP(' AZUL 2'!G269,0)</f>
        <v>0</v>
      </c>
      <c r="H154" s="120">
        <f>ROUNDUP(' AZUL 2'!H269,0)</f>
        <v>0</v>
      </c>
      <c r="I154" s="120">
        <f>ROUNDUP(' AZUL 2'!I269,0)</f>
        <v>0</v>
      </c>
      <c r="J154" s="120">
        <f>ROUNDUP(' AZUL 2'!J269,0)</f>
        <v>4</v>
      </c>
      <c r="K154" s="120">
        <f>ROUNDUP(' AZUL 2'!K269,0)</f>
        <v>0</v>
      </c>
      <c r="L154" s="120">
        <f>ROUNDUP(' AZUL 2'!L269,0)</f>
        <v>0</v>
      </c>
      <c r="M154" s="120">
        <f>ROUNDUP(' AZUL 2'!M269,0)</f>
        <v>0</v>
      </c>
      <c r="N154" s="120">
        <f>ROUNDUP(' AZUL 2'!N269,0)</f>
        <v>0</v>
      </c>
      <c r="O154" s="120">
        <f>ROUNDUP(' AZUL 2'!O269,0)</f>
        <v>0</v>
      </c>
      <c r="P154" s="120">
        <f>ROUNDUP(' AZUL 2'!P269,0)</f>
        <v>0</v>
      </c>
      <c r="Q154" s="120">
        <f>ROUNDUP(' AZUL 2'!Q269,0)</f>
        <v>0</v>
      </c>
    </row>
    <row r="155" spans="1:17" ht="15.75" customHeight="1">
      <c r="A155" s="111" t="s">
        <v>109</v>
      </c>
      <c r="B155" s="120">
        <f>ROUNDUP(' AZUL 2'!B270,0)</f>
        <v>0</v>
      </c>
      <c r="C155" s="120">
        <f>ROUNDUP(' AZUL 2'!C270,0)</f>
        <v>0</v>
      </c>
      <c r="D155" s="120">
        <f>ROUNDUP(' AZUL 2'!D270,0)</f>
        <v>0</v>
      </c>
      <c r="E155" s="120">
        <f>ROUNDUP(' AZUL 2'!E270,0)</f>
        <v>0</v>
      </c>
      <c r="F155" s="120">
        <f>ROUNDUP(' AZUL 2'!F270,0)</f>
        <v>0</v>
      </c>
      <c r="G155" s="120">
        <f>ROUNDUP(' AZUL 2'!G270,0)</f>
        <v>0</v>
      </c>
      <c r="H155" s="120">
        <f>ROUNDUP(' AZUL 2'!H270,0)</f>
        <v>0</v>
      </c>
      <c r="I155" s="120">
        <f>ROUNDUP(' AZUL 2'!I270,0)</f>
        <v>0</v>
      </c>
      <c r="J155" s="120">
        <v>0</v>
      </c>
      <c r="K155" s="120">
        <f>ROUNDUP(' AZUL 2'!K270,0)</f>
        <v>0</v>
      </c>
      <c r="L155" s="120">
        <f>ROUNDUP(' AZUL 2'!L270,0)</f>
        <v>0</v>
      </c>
      <c r="M155" s="120">
        <f>ROUNDUP(' AZUL 2'!M270,0)</f>
        <v>0</v>
      </c>
      <c r="N155" s="120">
        <f>ROUNDUP(' AZUL 2'!N270,0)</f>
        <v>0</v>
      </c>
      <c r="O155" s="120">
        <f>ROUNDUP(' AZUL 2'!O270,0)</f>
        <v>0</v>
      </c>
      <c r="P155" s="120">
        <f>ROUNDUP(' AZUL 2'!P270,0)</f>
        <v>0</v>
      </c>
      <c r="Q155" s="120">
        <f>ROUNDUP(' AZUL 2'!Q270,0)</f>
        <v>0</v>
      </c>
    </row>
    <row r="156" spans="1:17" ht="15.75" customHeight="1">
      <c r="A156" s="111" t="s">
        <v>110</v>
      </c>
      <c r="B156" s="120">
        <f>ROUNDUP(' AZUL 2'!B271,0)</f>
        <v>0</v>
      </c>
      <c r="C156" s="120">
        <f>ROUNDUP(' AZUL 2'!C271,0)</f>
        <v>0</v>
      </c>
      <c r="D156" s="120">
        <f>ROUNDUP(' AZUL 2'!D271,0)</f>
        <v>0</v>
      </c>
      <c r="E156" s="120">
        <f>ROUNDUP(' AZUL 2'!E271,0)</f>
        <v>0</v>
      </c>
      <c r="F156" s="120">
        <f>ROUNDUP(' AZUL 2'!F271,0)</f>
        <v>0</v>
      </c>
      <c r="G156" s="120">
        <f>ROUNDUP(' AZUL 2'!G271,0)</f>
        <v>0</v>
      </c>
      <c r="H156" s="120">
        <f>ROUNDUP(' AZUL 2'!H271,0)</f>
        <v>0</v>
      </c>
      <c r="I156" s="120">
        <f>ROUNDUP(' AZUL 2'!I271,0)</f>
        <v>0</v>
      </c>
      <c r="J156" s="120">
        <v>0</v>
      </c>
      <c r="K156" s="120">
        <f>ROUNDUP(' AZUL 2'!K271,0)</f>
        <v>0</v>
      </c>
      <c r="L156" s="120">
        <f>ROUNDUP(' AZUL 2'!L271,0)</f>
        <v>0</v>
      </c>
      <c r="M156" s="120">
        <f>ROUNDUP(' AZUL 2'!M271,0)</f>
        <v>0</v>
      </c>
      <c r="N156" s="120">
        <f>ROUNDUP(' AZUL 2'!N271,0)</f>
        <v>0</v>
      </c>
      <c r="O156" s="120">
        <f>ROUNDUP(' AZUL 2'!O271,0)</f>
        <v>0</v>
      </c>
      <c r="P156" s="120">
        <f>ROUNDUP(' AZUL 2'!P271,0)</f>
        <v>0</v>
      </c>
      <c r="Q156" s="120">
        <f>ROUNDUP(' AZUL 2'!Q271,0)</f>
        <v>0</v>
      </c>
    </row>
    <row r="157" spans="1:17" ht="15.75" customHeight="1">
      <c r="A157" s="111" t="s">
        <v>111</v>
      </c>
      <c r="B157" s="120">
        <f>ROUNDUP(' AZUL 2'!B272,0)</f>
        <v>0</v>
      </c>
      <c r="C157" s="120">
        <f>ROUNDUP(' AZUL 2'!C272,0)</f>
        <v>0</v>
      </c>
      <c r="D157" s="120">
        <f>ROUNDUP(' AZUL 2'!D272,0)</f>
        <v>0</v>
      </c>
      <c r="E157" s="120">
        <f>ROUNDUP(' AZUL 2'!E272,0)</f>
        <v>0</v>
      </c>
      <c r="F157" s="120">
        <f>ROUNDUP(' AZUL 2'!F272,0)</f>
        <v>0</v>
      </c>
      <c r="G157" s="120">
        <f>ROUNDUP(' AZUL 2'!G272,0)</f>
        <v>0</v>
      </c>
      <c r="H157" s="120">
        <f>ROUNDUP(' AZUL 2'!H272,0)</f>
        <v>0</v>
      </c>
      <c r="I157" s="120">
        <f>ROUNDUP(' AZUL 2'!I272,0)</f>
        <v>0</v>
      </c>
      <c r="J157" s="120">
        <f>ROUNDUP(' AZUL 2'!J272,0)</f>
        <v>0</v>
      </c>
      <c r="K157" s="120">
        <f>ROUNDUP(' AZUL 2'!K272,0)</f>
        <v>0</v>
      </c>
      <c r="L157" s="120">
        <f>ROUNDUP(' AZUL 2'!L272,0)</f>
        <v>0</v>
      </c>
      <c r="M157" s="120">
        <f>ROUNDUP(' AZUL 2'!M272,0)</f>
        <v>0</v>
      </c>
      <c r="N157" s="120">
        <f>ROUNDUP(' AZUL 2'!N272,0)</f>
        <v>0</v>
      </c>
      <c r="O157" s="120">
        <f>ROUNDUP(' AZUL 2'!O272,0)</f>
        <v>0</v>
      </c>
      <c r="P157" s="120">
        <f>ROUNDUP(' AZUL 2'!P272,0)</f>
        <v>0</v>
      </c>
      <c r="Q157" s="120">
        <f>ROUNDUP(' AZUL 2'!Q272,0)</f>
        <v>0</v>
      </c>
    </row>
    <row r="158" spans="1:17" ht="15.75" customHeight="1">
      <c r="A158" s="111" t="s">
        <v>112</v>
      </c>
      <c r="B158" s="120">
        <f>ROUNDUP(' AZUL 2'!B273,0)</f>
        <v>0</v>
      </c>
      <c r="C158" s="120">
        <f>ROUNDUP(' AZUL 2'!C273,0)</f>
        <v>0</v>
      </c>
      <c r="D158" s="120">
        <f>ROUNDUP(' AZUL 2'!D273,0)</f>
        <v>0</v>
      </c>
      <c r="E158" s="120">
        <f>ROUNDUP(' AZUL 2'!E273,0)</f>
        <v>0</v>
      </c>
      <c r="F158" s="120">
        <f>ROUNDUP(' AZUL 2'!F273,0)</f>
        <v>0</v>
      </c>
      <c r="G158" s="120">
        <f>ROUNDUP(' AZUL 2'!G273,0)</f>
        <v>0</v>
      </c>
      <c r="H158" s="120">
        <f>ROUNDUP(' AZUL 2'!H273,0)</f>
        <v>0</v>
      </c>
      <c r="I158" s="120">
        <f>ROUNDUP(' AZUL 2'!I273,0)</f>
        <v>0</v>
      </c>
      <c r="J158" s="120">
        <v>0</v>
      </c>
      <c r="K158" s="120">
        <f>ROUNDUP(' AZUL 2'!K273,0)</f>
        <v>0</v>
      </c>
      <c r="L158" s="120">
        <f>ROUNDUP(' AZUL 2'!L273,0)</f>
        <v>0</v>
      </c>
      <c r="M158" s="120">
        <f>ROUNDUP(' AZUL 2'!M273,0)</f>
        <v>0</v>
      </c>
      <c r="N158" s="120">
        <f>ROUNDUP(' AZUL 2'!N273,0)</f>
        <v>0</v>
      </c>
      <c r="O158" s="120">
        <f>ROUNDUP(' AZUL 2'!O273,0)</f>
        <v>0</v>
      </c>
      <c r="P158" s="120">
        <f>ROUNDUP(' AZUL 2'!P273,0)</f>
        <v>0</v>
      </c>
      <c r="Q158" s="120">
        <f>ROUNDUP(' AZUL 2'!Q273,0)</f>
        <v>0</v>
      </c>
    </row>
    <row r="159" spans="1:17" ht="15.75" customHeight="1">
      <c r="A159" s="111" t="s">
        <v>113</v>
      </c>
      <c r="B159" s="120">
        <f>ROUNDUP(' AZUL 2'!B274,0)</f>
        <v>0</v>
      </c>
      <c r="C159" s="120">
        <f>ROUNDUP(' AZUL 2'!C274,0)</f>
        <v>0</v>
      </c>
      <c r="D159" s="120">
        <f>ROUNDUP(' AZUL 2'!D274,0)</f>
        <v>0</v>
      </c>
      <c r="E159" s="120">
        <f>ROUNDUP(' AZUL 2'!E274,0)</f>
        <v>0</v>
      </c>
      <c r="F159" s="120">
        <f>ROUNDUP(' AZUL 2'!F274,0)</f>
        <v>0</v>
      </c>
      <c r="G159" s="120">
        <f>ROUNDUP(' AZUL 2'!G274,0)</f>
        <v>0</v>
      </c>
      <c r="H159" s="120">
        <f>ROUNDUP(' AZUL 2'!H274,0)</f>
        <v>0</v>
      </c>
      <c r="I159" s="120">
        <f>ROUNDUP(' AZUL 2'!I274,0)</f>
        <v>0</v>
      </c>
      <c r="J159" s="120">
        <f>ROUNDUP(' AZUL 2'!J274,0)</f>
        <v>3</v>
      </c>
      <c r="K159" s="120">
        <f>ROUNDUP(' AZUL 2'!K274,0)</f>
        <v>0</v>
      </c>
      <c r="L159" s="120">
        <f>ROUNDUP(' AZUL 2'!L274,0)</f>
        <v>0</v>
      </c>
      <c r="M159" s="120">
        <f>ROUNDUP(' AZUL 2'!M274,0)</f>
        <v>0</v>
      </c>
      <c r="N159" s="120">
        <f>ROUNDUP(' AZUL 2'!N274,0)</f>
        <v>0</v>
      </c>
      <c r="O159" s="120">
        <f>ROUNDUP(' AZUL 2'!O274,0)</f>
        <v>0</v>
      </c>
      <c r="P159" s="120">
        <f>ROUNDUP(' AZUL 2'!P274,0)</f>
        <v>0</v>
      </c>
      <c r="Q159" s="120">
        <f>ROUNDUP(' AZUL 2'!Q274,0)</f>
        <v>0</v>
      </c>
    </row>
    <row r="160" spans="1:17" ht="15.75" customHeight="1">
      <c r="A160" s="111" t="s">
        <v>114</v>
      </c>
      <c r="B160" s="120">
        <f>ROUNDUP(' AZUL 2'!B275,0)</f>
        <v>0</v>
      </c>
      <c r="C160" s="120">
        <f>ROUNDUP(' AZUL 2'!C275,0)</f>
        <v>0</v>
      </c>
      <c r="D160" s="120">
        <f>ROUNDUP(' AZUL 2'!D275,0)</f>
        <v>0</v>
      </c>
      <c r="E160" s="120">
        <f>ROUNDUP(' AZUL 2'!E275,0)</f>
        <v>0</v>
      </c>
      <c r="F160" s="120">
        <f>ROUNDUP(' AZUL 2'!F275,0)</f>
        <v>0</v>
      </c>
      <c r="G160" s="120">
        <f>ROUNDUP(' AZUL 2'!G275,0)</f>
        <v>0</v>
      </c>
      <c r="H160" s="120">
        <f>ROUNDUP(' AZUL 2'!H275,0)</f>
        <v>0</v>
      </c>
      <c r="I160" s="120">
        <f>ROUNDUP(' AZUL 2'!I275,0)</f>
        <v>0</v>
      </c>
      <c r="J160" s="120">
        <f>ROUNDUP(' AZUL 2'!J275,0)</f>
        <v>1</v>
      </c>
      <c r="K160" s="120">
        <f>ROUNDUP(' AZUL 2'!K275,0)</f>
        <v>0</v>
      </c>
      <c r="L160" s="120">
        <f>ROUNDUP(' AZUL 2'!L275,0)</f>
        <v>0</v>
      </c>
      <c r="M160" s="120">
        <f>ROUNDUP(' AZUL 2'!M275,0)</f>
        <v>0</v>
      </c>
      <c r="N160" s="120">
        <f>ROUNDUP(' AZUL 2'!N275,0)</f>
        <v>0</v>
      </c>
      <c r="O160" s="120">
        <f>ROUNDUP(' AZUL 2'!O275,0)</f>
        <v>0</v>
      </c>
      <c r="P160" s="120">
        <f>ROUNDUP(' AZUL 2'!P275,0)</f>
        <v>0</v>
      </c>
      <c r="Q160" s="120">
        <f>ROUNDUP(' AZUL 2'!Q275,0)</f>
        <v>0</v>
      </c>
    </row>
    <row r="161" spans="1:17" ht="15.75" customHeight="1">
      <c r="A161" s="112" t="s">
        <v>205</v>
      </c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</row>
    <row r="162" spans="1:17" ht="15.75" customHeight="1">
      <c r="A162" s="114" t="s">
        <v>206</v>
      </c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</row>
    <row r="163" spans="1:17" ht="15.75" customHeight="1"/>
    <row r="164" spans="1:17" ht="15.75" customHeight="1"/>
    <row r="165" spans="1:17" ht="15.75" customHeight="1"/>
    <row r="166" spans="1:17" ht="15.75" customHeight="1"/>
    <row r="167" spans="1:17" ht="15.75" customHeight="1"/>
    <row r="168" spans="1:17" ht="15.75" customHeight="1"/>
    <row r="169" spans="1:17" ht="15.75" customHeight="1"/>
    <row r="170" spans="1:17" ht="15.75" customHeight="1"/>
    <row r="171" spans="1:17" ht="15.75" customHeight="1"/>
    <row r="172" spans="1:17" ht="15.75" customHeight="1"/>
    <row r="173" spans="1:17" ht="15.75" customHeight="1"/>
    <row r="174" spans="1:17" ht="15.75" customHeight="1"/>
    <row r="175" spans="1:17" ht="15.75" customHeight="1"/>
    <row r="176" spans="1:17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</sheetData>
  <mergeCells count="2">
    <mergeCell ref="A7:E7"/>
    <mergeCell ref="A8:E8"/>
  </mergeCells>
  <pageMargins left="0.7" right="0.7" top="0.75" bottom="0.75" header="0" footer="0"/>
  <pageSetup paperSize="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6:Q1000"/>
  <sheetViews>
    <sheetView tabSelected="1" workbookViewId="0">
      <selection activeCell="J53" sqref="J53"/>
    </sheetView>
  </sheetViews>
  <sheetFormatPr baseColWidth="10" defaultColWidth="14.42578125" defaultRowHeight="15" customHeight="1"/>
  <cols>
    <col min="1" max="1" width="41.28515625" customWidth="1"/>
    <col min="2" max="2" width="8.28515625" customWidth="1"/>
    <col min="3" max="3" width="8.42578125" customWidth="1"/>
    <col min="4" max="5" width="9.28515625" customWidth="1"/>
    <col min="6" max="6" width="9.7109375" customWidth="1"/>
    <col min="7" max="7" width="14.28515625" customWidth="1"/>
    <col min="8" max="8" width="13.28515625" customWidth="1"/>
    <col min="9" max="9" width="7.140625" customWidth="1"/>
    <col min="10" max="10" width="7.28515625" customWidth="1"/>
    <col min="11" max="11" width="17.7109375" customWidth="1"/>
    <col min="12" max="13" width="9.42578125" customWidth="1"/>
    <col min="14" max="14" width="10.85546875" customWidth="1"/>
    <col min="15" max="15" width="8.28515625" customWidth="1"/>
    <col min="16" max="16" width="7.42578125" customWidth="1"/>
    <col min="17" max="17" width="7.28515625" customWidth="1"/>
    <col min="18" max="26" width="10.7109375" customWidth="1"/>
  </cols>
  <sheetData>
    <row r="6" spans="1:14" ht="15.75">
      <c r="A6" s="2" t="s">
        <v>0</v>
      </c>
      <c r="B6" s="3"/>
      <c r="C6" s="1"/>
      <c r="D6" s="1"/>
      <c r="E6" s="1"/>
    </row>
    <row r="7" spans="1:14" ht="15.75">
      <c r="A7" s="167" t="s">
        <v>1</v>
      </c>
      <c r="B7" s="168"/>
      <c r="C7" s="168"/>
      <c r="D7" s="168"/>
      <c r="E7" s="168"/>
    </row>
    <row r="8" spans="1:14" ht="15.75">
      <c r="A8" s="167" t="s">
        <v>2</v>
      </c>
      <c r="B8" s="168"/>
      <c r="C8" s="168"/>
      <c r="D8" s="168"/>
      <c r="E8" s="168"/>
    </row>
    <row r="11" spans="1:14" ht="18.75">
      <c r="A11" s="54" t="s">
        <v>168</v>
      </c>
    </row>
    <row r="12" spans="1:14" ht="18.75">
      <c r="A12" s="77" t="s">
        <v>260</v>
      </c>
    </row>
    <row r="14" spans="1:14">
      <c r="B14" s="36" t="s">
        <v>5</v>
      </c>
      <c r="C14" s="56" t="s">
        <v>6</v>
      </c>
      <c r="D14" s="36" t="s">
        <v>7</v>
      </c>
      <c r="E14" s="36" t="s">
        <v>8</v>
      </c>
      <c r="F14" s="36" t="s">
        <v>9</v>
      </c>
      <c r="G14" s="157" t="s">
        <v>10</v>
      </c>
      <c r="H14" s="36" t="s">
        <v>11</v>
      </c>
      <c r="I14" s="36" t="s">
        <v>12</v>
      </c>
      <c r="J14" s="36" t="s">
        <v>13</v>
      </c>
      <c r="K14" s="36" t="s">
        <v>14</v>
      </c>
      <c r="L14" s="57" t="s">
        <v>15</v>
      </c>
      <c r="M14" s="58" t="s">
        <v>16</v>
      </c>
      <c r="N14" s="58" t="s">
        <v>17</v>
      </c>
    </row>
    <row r="15" spans="1:14">
      <c r="B15" s="19">
        <v>94</v>
      </c>
      <c r="C15" s="19">
        <v>101</v>
      </c>
      <c r="D15" s="19">
        <v>6</v>
      </c>
      <c r="E15" s="19">
        <v>164</v>
      </c>
      <c r="F15" s="19">
        <v>90</v>
      </c>
      <c r="G15" s="19">
        <v>28</v>
      </c>
      <c r="H15" s="19">
        <v>27</v>
      </c>
      <c r="I15" s="19">
        <v>71</v>
      </c>
      <c r="J15" s="19">
        <v>148</v>
      </c>
      <c r="K15" s="19">
        <v>86</v>
      </c>
      <c r="L15" s="19">
        <v>92</v>
      </c>
      <c r="M15" s="19">
        <v>13</v>
      </c>
      <c r="N15" s="19">
        <v>22</v>
      </c>
    </row>
    <row r="16" spans="1:14">
      <c r="B16" s="19">
        <v>47</v>
      </c>
      <c r="C16" s="19">
        <v>0</v>
      </c>
      <c r="D16" s="19">
        <v>3</v>
      </c>
      <c r="E16" s="19">
        <v>82</v>
      </c>
      <c r="F16" s="19">
        <v>0</v>
      </c>
      <c r="G16" s="19">
        <v>14</v>
      </c>
      <c r="H16" s="19">
        <v>0</v>
      </c>
      <c r="I16" s="19">
        <v>0</v>
      </c>
      <c r="J16" s="19">
        <v>87</v>
      </c>
      <c r="K16" s="19">
        <v>43</v>
      </c>
      <c r="L16" s="19">
        <v>56</v>
      </c>
      <c r="M16" s="19">
        <v>0</v>
      </c>
      <c r="N16" s="19">
        <v>10</v>
      </c>
    </row>
    <row r="17" spans="1:14">
      <c r="A17" s="78" t="s">
        <v>170</v>
      </c>
      <c r="B17" s="119">
        <f>ROUNDUP(' AZUL 2'!B286,0)</f>
        <v>5</v>
      </c>
      <c r="C17" s="119">
        <f>ROUNDUP(' AZUL 2'!C286,0)</f>
        <v>0</v>
      </c>
      <c r="D17" s="119">
        <f>ROUNDUP(' AZUL 2'!D286,0)</f>
        <v>1</v>
      </c>
      <c r="E17" s="119">
        <f>ROUNDUP(' AZUL 2'!E286,0)</f>
        <v>9</v>
      </c>
      <c r="F17" s="119">
        <f>ROUNDUP(' AZUL 2'!F286,0)</f>
        <v>0</v>
      </c>
      <c r="G17" s="119">
        <f>ROUNDUP(' AZUL 2'!G286,0)</f>
        <v>2</v>
      </c>
      <c r="H17" s="119">
        <f>ROUNDUP(' AZUL 2'!H286,0)</f>
        <v>0</v>
      </c>
      <c r="I17" s="119">
        <f>ROUNDUP(' AZUL 2'!I286,0)</f>
        <v>0</v>
      </c>
      <c r="J17" s="119">
        <f>ROUNDUP(' AZUL 2'!J286,0)</f>
        <v>9</v>
      </c>
      <c r="K17" s="119">
        <f>ROUNDUP(' AZUL 2'!K286,0)</f>
        <v>5</v>
      </c>
      <c r="L17" s="119">
        <f>ROUNDUP(' AZUL 2'!L286,0)</f>
        <v>6</v>
      </c>
      <c r="M17" s="119">
        <f>ROUNDUP(' AZUL 2'!M286,0)</f>
        <v>0</v>
      </c>
      <c r="N17" s="119">
        <f>ROUNDUP(' AZUL 2'!N286,0)</f>
        <v>1</v>
      </c>
    </row>
    <row r="18" spans="1:14">
      <c r="A18" s="18" t="s">
        <v>171</v>
      </c>
      <c r="B18" s="119">
        <f>ROUNDUP(' AZUL 2'!B287,0)</f>
        <v>7</v>
      </c>
      <c r="C18" s="119">
        <f>ROUNDUP(' AZUL 2'!C287,0)</f>
        <v>0</v>
      </c>
      <c r="D18" s="119">
        <f>ROUNDUP(' AZUL 2'!D287,0)</f>
        <v>1</v>
      </c>
      <c r="E18" s="119">
        <f>ROUNDUP(' AZUL 2'!E287,0)</f>
        <v>12</v>
      </c>
      <c r="F18" s="119">
        <f>ROUNDUP(' AZUL 2'!F287,0)</f>
        <v>0</v>
      </c>
      <c r="G18" s="119">
        <v>3</v>
      </c>
      <c r="H18" s="119">
        <f>ROUNDUP(' AZUL 2'!H287,0)</f>
        <v>0</v>
      </c>
      <c r="I18" s="119">
        <f>ROUNDUP(' AZUL 2'!I287,0)</f>
        <v>0</v>
      </c>
      <c r="J18" s="119">
        <f>ROUNDUP(' AZUL 2'!J287,0)</f>
        <v>12</v>
      </c>
      <c r="K18" s="119">
        <f>ROUNDUP(' AZUL 2'!K287,0)</f>
        <v>6</v>
      </c>
      <c r="L18" s="119">
        <f>ROUNDUP(' AZUL 2'!L287,0)</f>
        <v>8</v>
      </c>
      <c r="M18" s="119">
        <f>ROUNDUP(' AZUL 2'!M287,0)</f>
        <v>0</v>
      </c>
      <c r="N18" s="119">
        <f>ROUNDUP(' AZUL 2'!N287,0)</f>
        <v>2</v>
      </c>
    </row>
    <row r="19" spans="1:14">
      <c r="A19" s="78" t="s">
        <v>172</v>
      </c>
      <c r="B19" s="119">
        <f>ROUNDUP(' AZUL 2'!B288,0)</f>
        <v>5</v>
      </c>
      <c r="C19" s="119">
        <f>ROUNDUP(' AZUL 2'!C288,0)</f>
        <v>0</v>
      </c>
      <c r="D19" s="119">
        <f>ROUNDUP(' AZUL 2'!D288,0)</f>
        <v>1</v>
      </c>
      <c r="E19" s="119">
        <f>ROUNDUP(' AZUL 2'!E288,0)</f>
        <v>9</v>
      </c>
      <c r="F19" s="119">
        <f>ROUNDUP(' AZUL 2'!F288,0)</f>
        <v>0</v>
      </c>
      <c r="G19" s="119">
        <f>ROUNDUP(' AZUL 2'!G288,0)</f>
        <v>2</v>
      </c>
      <c r="H19" s="119">
        <f>ROUNDUP(' AZUL 2'!H288,0)</f>
        <v>0</v>
      </c>
      <c r="I19" s="119">
        <f>ROUNDUP(' AZUL 2'!I288,0)</f>
        <v>0</v>
      </c>
      <c r="J19" s="119">
        <f>ROUNDUP(' AZUL 2'!J288,0)</f>
        <v>9</v>
      </c>
      <c r="K19" s="119">
        <f>ROUNDUP(' AZUL 2'!K288,0)</f>
        <v>5</v>
      </c>
      <c r="L19" s="119">
        <f>ROUNDUP(' AZUL 2'!L288,0)</f>
        <v>6</v>
      </c>
      <c r="M19" s="119">
        <f>ROUNDUP(' AZUL 2'!M288,0)</f>
        <v>0</v>
      </c>
      <c r="N19" s="119">
        <f>ROUNDUP(' AZUL 2'!N288,0)</f>
        <v>1</v>
      </c>
    </row>
    <row r="21" spans="1:14" ht="15.75" customHeight="1">
      <c r="B21" s="26" t="s">
        <v>34</v>
      </c>
      <c r="C21" s="27" t="s">
        <v>35</v>
      </c>
      <c r="D21" s="26" t="s">
        <v>36</v>
      </c>
      <c r="E21" s="66" t="s">
        <v>37</v>
      </c>
      <c r="F21" s="26" t="s">
        <v>38</v>
      </c>
      <c r="G21" s="153" t="s">
        <v>39</v>
      </c>
      <c r="H21" s="66" t="s">
        <v>40</v>
      </c>
      <c r="I21" s="26" t="s">
        <v>41</v>
      </c>
      <c r="J21" s="26" t="s">
        <v>42</v>
      </c>
      <c r="K21" s="66" t="s">
        <v>43</v>
      </c>
      <c r="L21" s="26" t="s">
        <v>44</v>
      </c>
      <c r="M21" s="26" t="s">
        <v>45</v>
      </c>
      <c r="N21" s="66" t="s">
        <v>46</v>
      </c>
    </row>
    <row r="22" spans="1:14" ht="15.75" customHeight="1">
      <c r="B22" s="19">
        <v>49</v>
      </c>
      <c r="C22" s="19">
        <v>230</v>
      </c>
      <c r="D22" s="19">
        <v>19</v>
      </c>
      <c r="E22" s="19">
        <v>38</v>
      </c>
      <c r="F22" s="19">
        <v>26</v>
      </c>
      <c r="G22" s="19">
        <v>5</v>
      </c>
      <c r="H22" s="19">
        <v>5</v>
      </c>
      <c r="I22" s="19">
        <v>8</v>
      </c>
      <c r="J22" s="19">
        <v>8</v>
      </c>
      <c r="K22" s="19">
        <v>7</v>
      </c>
      <c r="L22" s="19">
        <v>10</v>
      </c>
      <c r="M22" s="19">
        <v>17</v>
      </c>
      <c r="N22" s="19">
        <v>9</v>
      </c>
    </row>
    <row r="23" spans="1:14" ht="15.75" customHeight="1">
      <c r="B23" s="19">
        <v>40</v>
      </c>
      <c r="C23" s="19">
        <v>115</v>
      </c>
      <c r="D23" s="19">
        <v>0</v>
      </c>
      <c r="E23" s="19">
        <v>0</v>
      </c>
      <c r="F23" s="19">
        <v>13</v>
      </c>
      <c r="G23" s="19">
        <v>1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3</v>
      </c>
    </row>
    <row r="24" spans="1:14" ht="15.75" customHeight="1">
      <c r="A24" s="78" t="s">
        <v>170</v>
      </c>
      <c r="B24" s="79">
        <f>ROUNDUP(' AZUL 2'!B293,0)</f>
        <v>4</v>
      </c>
      <c r="C24" s="79">
        <f>ROUNDUP(' AZUL 2'!C293,0)</f>
        <v>12</v>
      </c>
      <c r="D24" s="79">
        <f>ROUNDUP(' AZUL 2'!D293,0)</f>
        <v>0</v>
      </c>
      <c r="E24" s="79">
        <f>ROUNDUP(' AZUL 2'!E293,0)</f>
        <v>0</v>
      </c>
      <c r="F24" s="79">
        <f>ROUNDUP(' AZUL 2'!F293,0)</f>
        <v>2</v>
      </c>
      <c r="G24" s="79">
        <v>0</v>
      </c>
      <c r="H24" s="79">
        <f>ROUNDUP(' AZUL 2'!H293,0)</f>
        <v>0</v>
      </c>
      <c r="I24" s="79">
        <f>ROUNDUP(' AZUL 2'!I293,0)</f>
        <v>0</v>
      </c>
      <c r="J24" s="79">
        <f>ROUNDUP(' AZUL 2'!J293,0)</f>
        <v>0</v>
      </c>
      <c r="K24" s="79">
        <f>ROUNDUP(' AZUL 2'!K293,0)</f>
        <v>0</v>
      </c>
      <c r="L24" s="79">
        <f>ROUNDUP(' AZUL 2'!L293,0)</f>
        <v>0</v>
      </c>
      <c r="M24" s="79">
        <f>ROUNDUP(' AZUL 2'!M293,0)</f>
        <v>0</v>
      </c>
      <c r="N24" s="79">
        <f>ROUNDUP(' AZUL 2'!N293,0)</f>
        <v>1</v>
      </c>
    </row>
    <row r="25" spans="1:14" ht="15.75" customHeight="1">
      <c r="A25" s="18" t="s">
        <v>171</v>
      </c>
      <c r="B25" s="79">
        <f>ROUNDUP(' AZUL 2'!B294,0)</f>
        <v>6</v>
      </c>
      <c r="C25" s="79">
        <f>ROUNDUP(' AZUL 2'!C294,0)</f>
        <v>16</v>
      </c>
      <c r="D25" s="79">
        <f>ROUNDUP(' AZUL 2'!D294,0)</f>
        <v>0</v>
      </c>
      <c r="E25" s="79">
        <f>ROUNDUP(' AZUL 2'!E294,0)</f>
        <v>0</v>
      </c>
      <c r="F25" s="79">
        <f>ROUNDUP(' AZUL 2'!F294,0)</f>
        <v>2</v>
      </c>
      <c r="G25" s="79">
        <v>0</v>
      </c>
      <c r="H25" s="79">
        <f>ROUNDUP(' AZUL 2'!H294,0)</f>
        <v>0</v>
      </c>
      <c r="I25" s="79">
        <f>ROUNDUP(' AZUL 2'!I294,0)</f>
        <v>0</v>
      </c>
      <c r="J25" s="79">
        <f>ROUNDUP(' AZUL 2'!J294,0)</f>
        <v>0</v>
      </c>
      <c r="K25" s="79">
        <f>ROUNDUP(' AZUL 2'!K294,0)</f>
        <v>0</v>
      </c>
      <c r="L25" s="79">
        <f>ROUNDUP(' AZUL 2'!L294,0)</f>
        <v>0</v>
      </c>
      <c r="M25" s="79">
        <f>ROUNDUP(' AZUL 2'!M294,0)</f>
        <v>0</v>
      </c>
      <c r="N25" s="79">
        <f>ROUNDUP(' AZUL 2'!N294,0)</f>
        <v>1</v>
      </c>
    </row>
    <row r="26" spans="1:14" ht="15.75" customHeight="1">
      <c r="A26" s="78" t="s">
        <v>172</v>
      </c>
      <c r="B26" s="79">
        <f>ROUNDUP(' AZUL 2'!B295,0)</f>
        <v>4</v>
      </c>
      <c r="C26" s="79">
        <f>ROUNDUP(' AZUL 2'!C295,0)</f>
        <v>12</v>
      </c>
      <c r="D26" s="79">
        <f>ROUNDUP(' AZUL 2'!D295,0)</f>
        <v>0</v>
      </c>
      <c r="E26" s="79">
        <f>ROUNDUP(' AZUL 2'!E295,0)</f>
        <v>0</v>
      </c>
      <c r="F26" s="79">
        <f>ROUNDUP(' AZUL 2'!F295,0)</f>
        <v>2</v>
      </c>
      <c r="G26" s="79">
        <v>0</v>
      </c>
      <c r="H26" s="79">
        <f>ROUNDUP(' AZUL 2'!H295,0)</f>
        <v>0</v>
      </c>
      <c r="I26" s="79">
        <f>ROUNDUP(' AZUL 2'!I295,0)</f>
        <v>0</v>
      </c>
      <c r="J26" s="79">
        <f>ROUNDUP(' AZUL 2'!J295,0)</f>
        <v>0</v>
      </c>
      <c r="K26" s="79">
        <f>ROUNDUP(' AZUL 2'!K295,0)</f>
        <v>0</v>
      </c>
      <c r="L26" s="79">
        <f>ROUNDUP(' AZUL 2'!L295,0)</f>
        <v>0</v>
      </c>
      <c r="M26" s="79">
        <f>ROUNDUP(' AZUL 2'!M295,0)</f>
        <v>0</v>
      </c>
      <c r="N26" s="79">
        <f>ROUNDUP(' AZUL 2'!N295,0)</f>
        <v>1</v>
      </c>
    </row>
    <row r="27" spans="1:14" ht="15.75" customHeight="1"/>
    <row r="28" spans="1:14" ht="15.75" customHeight="1">
      <c r="B28" s="26" t="s">
        <v>47</v>
      </c>
      <c r="C28" s="26" t="s">
        <v>48</v>
      </c>
      <c r="D28" s="26" t="s">
        <v>49</v>
      </c>
      <c r="E28" s="26" t="s">
        <v>50</v>
      </c>
      <c r="F28" s="26" t="s">
        <v>51</v>
      </c>
      <c r="G28" s="26" t="s">
        <v>52</v>
      </c>
      <c r="H28" s="26" t="s">
        <v>53</v>
      </c>
      <c r="I28" s="26" t="s">
        <v>54</v>
      </c>
      <c r="J28" s="26" t="s">
        <v>54</v>
      </c>
      <c r="K28" s="26" t="s">
        <v>55</v>
      </c>
      <c r="L28" s="26" t="s">
        <v>56</v>
      </c>
      <c r="M28" s="26" t="s">
        <v>56</v>
      </c>
      <c r="N28" s="27" t="s">
        <v>57</v>
      </c>
    </row>
    <row r="29" spans="1:14" ht="15.75" customHeight="1">
      <c r="B29" s="63"/>
      <c r="C29" s="63"/>
      <c r="D29" s="63"/>
      <c r="E29" s="63"/>
      <c r="F29" s="26" t="s">
        <v>58</v>
      </c>
      <c r="G29" s="63"/>
      <c r="H29" s="63"/>
      <c r="I29" s="26" t="s">
        <v>6</v>
      </c>
      <c r="J29" s="26" t="s">
        <v>59</v>
      </c>
      <c r="K29" s="63"/>
      <c r="L29" s="26" t="s">
        <v>60</v>
      </c>
      <c r="M29" s="26" t="s">
        <v>61</v>
      </c>
      <c r="N29" s="26" t="s">
        <v>62</v>
      </c>
    </row>
    <row r="30" spans="1:14" ht="15.75" customHeight="1">
      <c r="B30" s="19">
        <v>167</v>
      </c>
      <c r="C30" s="19">
        <v>148</v>
      </c>
      <c r="D30" s="19">
        <v>7</v>
      </c>
      <c r="E30" s="19">
        <v>178</v>
      </c>
      <c r="F30" s="19">
        <v>108</v>
      </c>
      <c r="G30" s="19">
        <v>35</v>
      </c>
      <c r="H30" s="19">
        <v>149</v>
      </c>
      <c r="I30" s="19">
        <v>99</v>
      </c>
      <c r="J30" s="19">
        <v>33</v>
      </c>
      <c r="K30" s="19">
        <v>150</v>
      </c>
      <c r="L30" s="19">
        <v>123</v>
      </c>
      <c r="M30" s="19">
        <v>78</v>
      </c>
      <c r="N30" s="19">
        <v>170</v>
      </c>
    </row>
    <row r="31" spans="1:14" ht="15.75" customHeight="1">
      <c r="B31" s="19">
        <v>60</v>
      </c>
      <c r="C31" s="19">
        <v>100</v>
      </c>
      <c r="D31" s="19">
        <v>0</v>
      </c>
      <c r="E31" s="19">
        <v>89</v>
      </c>
      <c r="F31" s="19">
        <v>0</v>
      </c>
      <c r="G31" s="19">
        <v>0</v>
      </c>
      <c r="H31" s="19">
        <v>149</v>
      </c>
      <c r="I31" s="19">
        <v>0</v>
      </c>
      <c r="J31" s="19">
        <v>0</v>
      </c>
      <c r="K31" s="19">
        <v>95</v>
      </c>
      <c r="L31" s="19">
        <v>0</v>
      </c>
      <c r="M31" s="19">
        <v>0</v>
      </c>
      <c r="N31" s="19">
        <v>70</v>
      </c>
    </row>
    <row r="32" spans="1:14" ht="15.75" customHeight="1">
      <c r="A32" s="78" t="s">
        <v>170</v>
      </c>
      <c r="B32" s="79">
        <f>ROUNDUP(' AZUL 2'!B301,0)</f>
        <v>6</v>
      </c>
      <c r="C32" s="79">
        <f>ROUNDUP(' AZUL 2'!C301,0)</f>
        <v>10</v>
      </c>
      <c r="D32" s="79">
        <f>ROUNDUP(' AZUL 2'!D301,0)</f>
        <v>0</v>
      </c>
      <c r="E32" s="79">
        <f>ROUNDUP(' AZUL 2'!E301,0)</f>
        <v>9</v>
      </c>
      <c r="F32" s="79">
        <f>ROUNDUP(' AZUL 2'!F301,0)</f>
        <v>0</v>
      </c>
      <c r="G32" s="79">
        <f>ROUNDUP(' AZUL 2'!G301,0)</f>
        <v>0</v>
      </c>
      <c r="H32" s="79">
        <f>ROUNDUP(' AZUL 2'!H301,0)</f>
        <v>15</v>
      </c>
      <c r="I32" s="79">
        <f>ROUNDUP(' AZUL 2'!I301,0)</f>
        <v>0</v>
      </c>
      <c r="J32" s="79">
        <f>ROUNDUP(' AZUL 2'!J301,0)</f>
        <v>0</v>
      </c>
      <c r="K32" s="79">
        <f>ROUNDUP(' AZUL 2'!K301,0)</f>
        <v>10</v>
      </c>
      <c r="L32" s="79">
        <f>ROUNDUP(' AZUL 2'!L301,0)</f>
        <v>0</v>
      </c>
      <c r="M32" s="79">
        <f>ROUNDUP(' AZUL 2'!M301,0)</f>
        <v>0</v>
      </c>
      <c r="N32" s="79">
        <f>ROUNDUP(' AZUL 2'!N301,0)</f>
        <v>7</v>
      </c>
    </row>
    <row r="33" spans="1:17" ht="15.75" customHeight="1">
      <c r="A33" s="18" t="s">
        <v>171</v>
      </c>
      <c r="B33" s="79">
        <v>7</v>
      </c>
      <c r="C33" s="79">
        <f>ROUNDUP(' AZUL 2'!C302,0)</f>
        <v>14</v>
      </c>
      <c r="D33" s="79">
        <f>ROUNDUP(' AZUL 2'!D302,0)</f>
        <v>0</v>
      </c>
      <c r="E33" s="79">
        <f>ROUNDUP(' AZUL 2'!E302,0)</f>
        <v>12</v>
      </c>
      <c r="F33" s="79">
        <f>ROUNDUP(' AZUL 2'!F302,0)</f>
        <v>0</v>
      </c>
      <c r="G33" s="79">
        <f>ROUNDUP(' AZUL 2'!G302,0)</f>
        <v>0</v>
      </c>
      <c r="H33" s="79">
        <f>ROUNDUP(' AZUL 2'!H302,0)</f>
        <v>21</v>
      </c>
      <c r="I33" s="79">
        <f>ROUNDUP(' AZUL 2'!I302,0)</f>
        <v>0</v>
      </c>
      <c r="J33" s="79">
        <f>ROUNDUP(' AZUL 2'!J302,0)</f>
        <v>0</v>
      </c>
      <c r="K33" s="79">
        <f>ROUNDUP(' AZUL 2'!K302,0)</f>
        <v>13</v>
      </c>
      <c r="L33" s="79">
        <f>ROUNDUP(' AZUL 2'!L302,0)</f>
        <v>0</v>
      </c>
      <c r="M33" s="79">
        <f>ROUNDUP(' AZUL 2'!M302,0)</f>
        <v>0</v>
      </c>
      <c r="N33" s="79">
        <f>ROUNDUP(' AZUL 2'!N302,0)</f>
        <v>10</v>
      </c>
    </row>
    <row r="34" spans="1:17" ht="15.75" customHeight="1">
      <c r="A34" s="78" t="s">
        <v>172</v>
      </c>
      <c r="B34" s="79">
        <f>ROUNDUP(' AZUL 2'!B303,0)</f>
        <v>6</v>
      </c>
      <c r="C34" s="79">
        <f>ROUNDUP(' AZUL 2'!C303,0)</f>
        <v>10</v>
      </c>
      <c r="D34" s="79">
        <f>ROUNDUP(' AZUL 2'!D303,0)</f>
        <v>0</v>
      </c>
      <c r="E34" s="79">
        <f>ROUNDUP(' AZUL 2'!E303,0)</f>
        <v>9</v>
      </c>
      <c r="F34" s="79">
        <f>ROUNDUP(' AZUL 2'!F303,0)</f>
        <v>0</v>
      </c>
      <c r="G34" s="79">
        <f>ROUNDUP(' AZUL 2'!G303,0)</f>
        <v>0</v>
      </c>
      <c r="H34" s="79">
        <f>ROUNDUP(' AZUL 2'!H303,0)</f>
        <v>15</v>
      </c>
      <c r="I34" s="79">
        <f>ROUNDUP(' AZUL 2'!I303,0)</f>
        <v>0</v>
      </c>
      <c r="J34" s="79">
        <f>ROUNDUP(' AZUL 2'!J303,0)</f>
        <v>0</v>
      </c>
      <c r="K34" s="79">
        <f>ROUNDUP(' AZUL 2'!K303,0)</f>
        <v>10</v>
      </c>
      <c r="L34" s="79">
        <f>ROUNDUP(' AZUL 2'!L303,0)</f>
        <v>0</v>
      </c>
      <c r="M34" s="79">
        <f>ROUNDUP(' AZUL 2'!M303,0)</f>
        <v>0</v>
      </c>
      <c r="N34" s="79">
        <f>ROUNDUP(' AZUL 2'!N303,0)</f>
        <v>7</v>
      </c>
    </row>
    <row r="35" spans="1:17" ht="15.75" customHeight="1"/>
    <row r="36" spans="1:17" ht="15.75" customHeight="1">
      <c r="B36" s="26" t="s">
        <v>63</v>
      </c>
      <c r="C36" s="26" t="s">
        <v>64</v>
      </c>
      <c r="D36" s="26" t="s">
        <v>65</v>
      </c>
      <c r="E36" s="64" t="s">
        <v>66</v>
      </c>
      <c r="F36" s="34" t="s">
        <v>67</v>
      </c>
      <c r="G36" s="108" t="s">
        <v>68</v>
      </c>
      <c r="H36" s="26">
        <v>502</v>
      </c>
      <c r="I36" s="26">
        <v>503</v>
      </c>
      <c r="J36" s="26">
        <v>504</v>
      </c>
      <c r="K36" s="26">
        <v>505</v>
      </c>
      <c r="L36" s="66" t="s">
        <v>69</v>
      </c>
      <c r="M36" s="67" t="s">
        <v>70</v>
      </c>
      <c r="N36" s="67" t="s">
        <v>71</v>
      </c>
    </row>
    <row r="37" spans="1:17" ht="15.75" customHeight="1">
      <c r="B37" s="36" t="s">
        <v>34</v>
      </c>
      <c r="C37" s="37"/>
      <c r="D37" s="37"/>
      <c r="E37" s="36" t="s">
        <v>72</v>
      </c>
      <c r="F37" s="38"/>
      <c r="G37" s="109"/>
      <c r="H37" s="37"/>
      <c r="I37" s="37"/>
      <c r="J37" s="37"/>
      <c r="K37" s="37"/>
      <c r="L37" s="37"/>
      <c r="M37" s="37"/>
      <c r="N37" s="37"/>
    </row>
    <row r="38" spans="1:17" ht="15.75" customHeight="1">
      <c r="B38" s="19">
        <v>68</v>
      </c>
      <c r="C38" s="40">
        <v>566</v>
      </c>
      <c r="D38" s="19">
        <v>850</v>
      </c>
      <c r="E38" s="19">
        <v>121</v>
      </c>
      <c r="F38" s="19">
        <v>100</v>
      </c>
      <c r="G38" s="19">
        <v>108</v>
      </c>
      <c r="H38" s="19">
        <v>124</v>
      </c>
      <c r="I38" s="19">
        <v>46</v>
      </c>
      <c r="J38" s="19">
        <v>50</v>
      </c>
      <c r="K38" s="19">
        <v>104</v>
      </c>
      <c r="L38" s="19">
        <v>60</v>
      </c>
      <c r="M38" s="19">
        <v>42</v>
      </c>
      <c r="N38" s="19">
        <v>103</v>
      </c>
    </row>
    <row r="39" spans="1:17" ht="15.75" customHeight="1">
      <c r="B39" s="19">
        <v>68</v>
      </c>
      <c r="C39" s="41">
        <v>160</v>
      </c>
      <c r="D39" s="19">
        <v>0</v>
      </c>
      <c r="E39" s="19">
        <v>0</v>
      </c>
      <c r="F39" s="19">
        <v>100</v>
      </c>
      <c r="G39" s="19">
        <v>54</v>
      </c>
      <c r="H39" s="19">
        <v>62</v>
      </c>
      <c r="I39" s="19">
        <v>23</v>
      </c>
      <c r="J39" s="19">
        <v>25</v>
      </c>
      <c r="K39" s="19">
        <v>52</v>
      </c>
      <c r="L39" s="19">
        <v>30</v>
      </c>
      <c r="M39" s="19">
        <v>19</v>
      </c>
      <c r="N39" s="19">
        <v>103</v>
      </c>
    </row>
    <row r="40" spans="1:17" ht="15.75" customHeight="1">
      <c r="A40" s="78" t="s">
        <v>170</v>
      </c>
      <c r="B40" s="79">
        <f>ROUNDUP(' AZUL 2'!B309,0)</f>
        <v>7</v>
      </c>
      <c r="C40" s="79">
        <f>ROUNDUP(' AZUL 2'!C309,0)</f>
        <v>16</v>
      </c>
      <c r="D40" s="79">
        <f>ROUNDUP(' AZUL 2'!D309,0)</f>
        <v>0</v>
      </c>
      <c r="E40" s="79">
        <f>ROUNDUP(' AZUL 2'!E309,0)</f>
        <v>0</v>
      </c>
      <c r="F40" s="79">
        <f>ROUNDUP(' AZUL 2'!F309,0)</f>
        <v>10</v>
      </c>
      <c r="G40" s="79">
        <f>ROUNDUP(' AZUL 2'!G309,0)</f>
        <v>6</v>
      </c>
      <c r="H40" s="79">
        <f>ROUNDUP(' AZUL 2'!H309,0)</f>
        <v>7</v>
      </c>
      <c r="I40" s="79">
        <f>ROUNDUP(' AZUL 2'!I309,0)</f>
        <v>3</v>
      </c>
      <c r="J40" s="79">
        <f>ROUNDUP(' AZUL 2'!J309,0)</f>
        <v>3</v>
      </c>
      <c r="K40" s="79">
        <f>ROUNDUP(' AZUL 2'!K309,0)</f>
        <v>6</v>
      </c>
      <c r="L40" s="79">
        <f>ROUNDUP(' AZUL 2'!L309,0)</f>
        <v>3</v>
      </c>
      <c r="M40" s="79">
        <f>ROUNDUP(' AZUL 2'!M309,0)</f>
        <v>2</v>
      </c>
      <c r="N40" s="79">
        <f>ROUNDUP(' AZUL 2'!N309,0)</f>
        <v>11</v>
      </c>
    </row>
    <row r="41" spans="1:17" ht="15.75" customHeight="1">
      <c r="A41" s="18" t="s">
        <v>171</v>
      </c>
      <c r="B41" s="79">
        <f>ROUNDUP(' AZUL 2'!B310,0)</f>
        <v>10</v>
      </c>
      <c r="C41" s="79">
        <f>ROUNDUP(' AZUL 2'!C310,0)</f>
        <v>22</v>
      </c>
      <c r="D41" s="79">
        <f>ROUNDUP(' AZUL 2'!D310,0)</f>
        <v>0</v>
      </c>
      <c r="E41" s="79">
        <f>ROUNDUP(' AZUL 2'!E310,0)</f>
        <v>0</v>
      </c>
      <c r="F41" s="79">
        <f>ROUNDUP(' AZUL 2'!F310,0)</f>
        <v>14</v>
      </c>
      <c r="G41" s="79">
        <f>ROUNDUP(' AZUL 2'!G310,0)</f>
        <v>8</v>
      </c>
      <c r="H41" s="79">
        <f>ROUNDUP(' AZUL 2'!H310,0)</f>
        <v>9</v>
      </c>
      <c r="I41" s="79">
        <f>ROUNDUP(' AZUL 2'!I310,0)</f>
        <v>4</v>
      </c>
      <c r="J41" s="79">
        <f>ROUNDUP(' AZUL 2'!J310,0)</f>
        <v>4</v>
      </c>
      <c r="K41" s="79">
        <f>ROUNDUP(' AZUL 2'!K310,0)</f>
        <v>7</v>
      </c>
      <c r="L41" s="79">
        <f>ROUNDUP(' AZUL 2'!L310,0)</f>
        <v>5</v>
      </c>
      <c r="M41" s="79">
        <f>ROUNDUP(' AZUL 2'!M310,0)</f>
        <v>3</v>
      </c>
      <c r="N41" s="79">
        <f>ROUNDUP(' AZUL 2'!N310,0)</f>
        <v>14</v>
      </c>
    </row>
    <row r="42" spans="1:17" ht="15.75" customHeight="1">
      <c r="A42" s="78" t="s">
        <v>172</v>
      </c>
      <c r="B42" s="79">
        <f>ROUNDUP(' AZUL 2'!B311,0)</f>
        <v>7</v>
      </c>
      <c r="C42" s="79">
        <f>ROUNDUP(' AZUL 2'!C311,0)</f>
        <v>16</v>
      </c>
      <c r="D42" s="79">
        <f>ROUNDUP(' AZUL 2'!D311,0)</f>
        <v>0</v>
      </c>
      <c r="E42" s="79">
        <f>ROUNDUP(' AZUL 2'!E311,0)</f>
        <v>0</v>
      </c>
      <c r="F42" s="79">
        <f>ROUNDUP(' AZUL 2'!F311,0)</f>
        <v>10</v>
      </c>
      <c r="G42" s="79">
        <f>ROUNDUP(' AZUL 2'!G311,0)</f>
        <v>6</v>
      </c>
      <c r="H42" s="79">
        <f>ROUNDUP(' AZUL 2'!H311,0)</f>
        <v>7</v>
      </c>
      <c r="I42" s="79">
        <f>ROUNDUP(' AZUL 2'!I311,0)</f>
        <v>3</v>
      </c>
      <c r="J42" s="79">
        <f>ROUNDUP(' AZUL 2'!J311,0)</f>
        <v>3</v>
      </c>
      <c r="K42" s="79">
        <f>ROUNDUP(' AZUL 2'!K311,0)</f>
        <v>6</v>
      </c>
      <c r="L42" s="79">
        <f>ROUNDUP(' AZUL 2'!L311,0)</f>
        <v>3</v>
      </c>
      <c r="M42" s="79">
        <f>ROUNDUP(' AZUL 2'!M311,0)</f>
        <v>2</v>
      </c>
      <c r="N42" s="79">
        <f>ROUNDUP(' AZUL 2'!N311,0)</f>
        <v>11</v>
      </c>
    </row>
    <row r="43" spans="1:17" ht="15.75" customHeight="1"/>
    <row r="44" spans="1:17" ht="15.75" customHeight="1">
      <c r="B44" s="26" t="s">
        <v>73</v>
      </c>
      <c r="C44" s="26" t="s">
        <v>74</v>
      </c>
      <c r="D44" s="26" t="s">
        <v>75</v>
      </c>
      <c r="E44" s="26" t="s">
        <v>76</v>
      </c>
      <c r="F44" s="26" t="s">
        <v>77</v>
      </c>
      <c r="G44" s="26" t="s">
        <v>78</v>
      </c>
      <c r="H44" s="26" t="s">
        <v>79</v>
      </c>
      <c r="I44" s="26" t="s">
        <v>80</v>
      </c>
      <c r="J44" s="26" t="s">
        <v>81</v>
      </c>
      <c r="K44" s="26" t="s">
        <v>82</v>
      </c>
      <c r="L44" s="26" t="s">
        <v>83</v>
      </c>
      <c r="M44" s="26" t="s">
        <v>84</v>
      </c>
      <c r="N44" s="27" t="s">
        <v>85</v>
      </c>
      <c r="O44" s="26" t="s">
        <v>86</v>
      </c>
      <c r="P44" s="26" t="s">
        <v>87</v>
      </c>
      <c r="Q44" s="26" t="s">
        <v>88</v>
      </c>
    </row>
    <row r="45" spans="1:17" ht="15.75" customHeight="1">
      <c r="B45" s="19">
        <v>160</v>
      </c>
      <c r="C45" s="19">
        <v>80</v>
      </c>
      <c r="D45" s="19">
        <v>156</v>
      </c>
      <c r="E45" s="19">
        <v>97</v>
      </c>
      <c r="F45" s="19">
        <v>2</v>
      </c>
      <c r="G45" s="19">
        <v>78</v>
      </c>
      <c r="H45" s="19">
        <v>69</v>
      </c>
      <c r="I45" s="19">
        <v>61</v>
      </c>
      <c r="J45" s="19">
        <v>131</v>
      </c>
      <c r="K45" s="19">
        <v>75</v>
      </c>
      <c r="L45" s="19">
        <v>66</v>
      </c>
      <c r="M45" s="19">
        <v>80</v>
      </c>
      <c r="N45" s="19">
        <v>71</v>
      </c>
      <c r="O45" s="19">
        <v>69</v>
      </c>
      <c r="P45" s="19">
        <v>42</v>
      </c>
      <c r="Q45" s="45">
        <v>70</v>
      </c>
    </row>
    <row r="46" spans="1:17" ht="15.75" customHeight="1"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40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47">
        <v>0</v>
      </c>
    </row>
    <row r="47" spans="1:17" ht="15.75" customHeight="1">
      <c r="A47" s="78" t="s">
        <v>170</v>
      </c>
      <c r="B47" s="79">
        <f>ROUNDUP(' AZUL 2'!B316,0)</f>
        <v>0</v>
      </c>
      <c r="C47" s="79">
        <f>ROUNDUP(' AZUL 2'!C316,0)</f>
        <v>0</v>
      </c>
      <c r="D47" s="79">
        <f>ROUNDUP(' AZUL 2'!D316,0)</f>
        <v>0</v>
      </c>
      <c r="E47" s="79">
        <f>ROUNDUP(' AZUL 2'!E316,0)</f>
        <v>0</v>
      </c>
      <c r="F47" s="79">
        <f>ROUNDUP(' AZUL 2'!F316,0)</f>
        <v>0</v>
      </c>
      <c r="G47" s="79">
        <f>ROUNDUP(' AZUL 2'!G316,0)</f>
        <v>0</v>
      </c>
      <c r="H47" s="79">
        <f>ROUNDUP(' AZUL 2'!H316,0)</f>
        <v>0</v>
      </c>
      <c r="I47" s="79">
        <f>ROUNDUP(' AZUL 2'!I316,0)</f>
        <v>0</v>
      </c>
      <c r="J47" s="79">
        <f>ROUNDUP(' AZUL 2'!J316,0)</f>
        <v>4</v>
      </c>
      <c r="K47" s="79">
        <f>ROUNDUP(' AZUL 2'!K316,0)</f>
        <v>0</v>
      </c>
      <c r="L47" s="79">
        <f>ROUNDUP(' AZUL 2'!L316,0)</f>
        <v>0</v>
      </c>
      <c r="M47" s="79">
        <f>ROUNDUP(' AZUL 2'!M316,0)</f>
        <v>0</v>
      </c>
      <c r="N47" s="79">
        <f>ROUNDUP(' AZUL 2'!N316,0)</f>
        <v>0</v>
      </c>
      <c r="O47" s="79">
        <f>ROUNDUP(' AZUL 2'!O316,0)</f>
        <v>0</v>
      </c>
      <c r="P47" s="79">
        <f>ROUNDUP(' AZUL 2'!P316,0)</f>
        <v>0</v>
      </c>
      <c r="Q47" s="79">
        <f>ROUNDUP(' AZUL 2'!Q316,0)</f>
        <v>0</v>
      </c>
    </row>
    <row r="48" spans="1:17" ht="15.75" customHeight="1">
      <c r="A48" s="18" t="s">
        <v>171</v>
      </c>
      <c r="B48" s="79">
        <f>ROUNDUP(' AZUL 2'!B317,0)</f>
        <v>0</v>
      </c>
      <c r="C48" s="79">
        <f>ROUNDUP(' AZUL 2'!C317,0)</f>
        <v>0</v>
      </c>
      <c r="D48" s="79">
        <f>ROUNDUP(' AZUL 2'!D317,0)</f>
        <v>0</v>
      </c>
      <c r="E48" s="79">
        <f>ROUNDUP(' AZUL 2'!E317,0)</f>
        <v>0</v>
      </c>
      <c r="F48" s="79">
        <f>ROUNDUP(' AZUL 2'!F317,0)</f>
        <v>0</v>
      </c>
      <c r="G48" s="79">
        <f>ROUNDUP(' AZUL 2'!G317,0)</f>
        <v>0</v>
      </c>
      <c r="H48" s="79">
        <f>ROUNDUP(' AZUL 2'!H317,0)</f>
        <v>0</v>
      </c>
      <c r="I48" s="79">
        <f>ROUNDUP(' AZUL 2'!I317,0)</f>
        <v>0</v>
      </c>
      <c r="J48" s="79">
        <f>ROUNDUP(' AZUL 2'!J317,0)</f>
        <v>6</v>
      </c>
      <c r="K48" s="79">
        <f>ROUNDUP(' AZUL 2'!K317,0)</f>
        <v>0</v>
      </c>
      <c r="L48" s="79">
        <f>ROUNDUP(' AZUL 2'!L317,0)</f>
        <v>0</v>
      </c>
      <c r="M48" s="79">
        <f>ROUNDUP(' AZUL 2'!M317,0)</f>
        <v>0</v>
      </c>
      <c r="N48" s="79">
        <f>ROUNDUP(' AZUL 2'!N317,0)</f>
        <v>0</v>
      </c>
      <c r="O48" s="79">
        <f>ROUNDUP(' AZUL 2'!O317,0)</f>
        <v>0</v>
      </c>
      <c r="P48" s="79">
        <f>ROUNDUP(' AZUL 2'!P317,0)</f>
        <v>0</v>
      </c>
      <c r="Q48" s="79">
        <f>ROUNDUP(' AZUL 2'!Q317,0)</f>
        <v>0</v>
      </c>
    </row>
    <row r="49" spans="1:17" ht="15.75" customHeight="1">
      <c r="A49" s="78" t="s">
        <v>172</v>
      </c>
      <c r="B49" s="79">
        <f>ROUNDUP(' AZUL 2'!B318,0)</f>
        <v>0</v>
      </c>
      <c r="C49" s="79">
        <f>ROUNDUP(' AZUL 2'!C318,0)</f>
        <v>0</v>
      </c>
      <c r="D49" s="79">
        <f>ROUNDUP(' AZUL 2'!D318,0)</f>
        <v>0</v>
      </c>
      <c r="E49" s="79">
        <f>ROUNDUP(' AZUL 2'!E318,0)</f>
        <v>0</v>
      </c>
      <c r="F49" s="79">
        <f>ROUNDUP(' AZUL 2'!F318,0)</f>
        <v>0</v>
      </c>
      <c r="G49" s="79">
        <f>ROUNDUP(' AZUL 2'!G318,0)</f>
        <v>0</v>
      </c>
      <c r="H49" s="79">
        <f>ROUNDUP(' AZUL 2'!H318,0)</f>
        <v>0</v>
      </c>
      <c r="I49" s="79">
        <f>ROUNDUP(' AZUL 2'!I318,0)</f>
        <v>0</v>
      </c>
      <c r="J49" s="79">
        <f>ROUNDUP(' AZUL 2'!J318,0)</f>
        <v>4</v>
      </c>
      <c r="K49" s="79">
        <f>ROUNDUP(' AZUL 2'!K318,0)</f>
        <v>0</v>
      </c>
      <c r="L49" s="79">
        <f>ROUNDUP(' AZUL 2'!L318,0)</f>
        <v>0</v>
      </c>
      <c r="M49" s="79">
        <f>ROUNDUP(' AZUL 2'!M318,0)</f>
        <v>0</v>
      </c>
      <c r="N49" s="79">
        <f>ROUNDUP(' AZUL 2'!N318,0)</f>
        <v>0</v>
      </c>
      <c r="O49" s="79">
        <f>ROUNDUP(' AZUL 2'!O318,0)</f>
        <v>0</v>
      </c>
      <c r="P49" s="79">
        <f>ROUNDUP(' AZUL 2'!P318,0)</f>
        <v>0</v>
      </c>
      <c r="Q49" s="79">
        <f>ROUNDUP(' AZUL 2'!Q318,0)</f>
        <v>0</v>
      </c>
    </row>
    <row r="50" spans="1:17" ht="15.75" customHeight="1"/>
    <row r="51" spans="1:17" ht="15.75" customHeight="1">
      <c r="H51" s="1" t="s">
        <v>174</v>
      </c>
    </row>
    <row r="52" spans="1:17" ht="15.75" customHeight="1">
      <c r="A52" s="12" t="s">
        <v>176</v>
      </c>
      <c r="H52" s="1" t="s">
        <v>177</v>
      </c>
    </row>
    <row r="53" spans="1:17" ht="15.75" customHeight="1">
      <c r="A53" s="12" t="s">
        <v>178</v>
      </c>
      <c r="H53" s="1" t="s">
        <v>328</v>
      </c>
    </row>
    <row r="54" spans="1:17" ht="15.75" customHeight="1">
      <c r="H54" s="1" t="s">
        <v>180</v>
      </c>
    </row>
    <row r="55" spans="1:17" ht="15.75" customHeight="1">
      <c r="B55" s="36" t="s">
        <v>5</v>
      </c>
      <c r="C55" s="56" t="s">
        <v>6</v>
      </c>
      <c r="D55" s="36" t="s">
        <v>7</v>
      </c>
      <c r="E55" s="36" t="s">
        <v>8</v>
      </c>
      <c r="F55" s="36" t="s">
        <v>9</v>
      </c>
      <c r="G55" s="36" t="s">
        <v>10</v>
      </c>
      <c r="H55" s="36" t="s">
        <v>11</v>
      </c>
      <c r="I55" s="36" t="s">
        <v>12</v>
      </c>
      <c r="J55" s="36" t="s">
        <v>13</v>
      </c>
      <c r="K55" s="36" t="s">
        <v>14</v>
      </c>
      <c r="L55" s="57" t="s">
        <v>15</v>
      </c>
      <c r="M55" s="58" t="s">
        <v>16</v>
      </c>
      <c r="N55" s="58" t="s">
        <v>17</v>
      </c>
    </row>
    <row r="56" spans="1:17" ht="15.75" customHeight="1">
      <c r="B56" s="19">
        <v>94</v>
      </c>
      <c r="C56" s="19">
        <v>101</v>
      </c>
      <c r="D56" s="19">
        <v>6</v>
      </c>
      <c r="E56" s="19">
        <v>164</v>
      </c>
      <c r="F56" s="19">
        <v>90</v>
      </c>
      <c r="G56" s="19">
        <v>28</v>
      </c>
      <c r="H56" s="19">
        <v>27</v>
      </c>
      <c r="I56" s="19">
        <v>71</v>
      </c>
      <c r="J56" s="19">
        <v>148</v>
      </c>
      <c r="K56" s="19">
        <v>86</v>
      </c>
      <c r="L56" s="19">
        <v>92</v>
      </c>
      <c r="M56" s="19">
        <v>13</v>
      </c>
      <c r="N56" s="19">
        <v>22</v>
      </c>
    </row>
    <row r="57" spans="1:17" ht="15.75" customHeight="1">
      <c r="B57" s="19">
        <v>47</v>
      </c>
      <c r="C57" s="19">
        <v>0</v>
      </c>
      <c r="D57" s="19">
        <v>3</v>
      </c>
      <c r="E57" s="19">
        <v>82</v>
      </c>
      <c r="F57" s="19">
        <v>0</v>
      </c>
      <c r="G57" s="19">
        <v>14</v>
      </c>
      <c r="H57" s="19">
        <v>0</v>
      </c>
      <c r="I57" s="19">
        <v>0</v>
      </c>
      <c r="J57" s="19">
        <v>87</v>
      </c>
      <c r="K57" s="19">
        <v>43</v>
      </c>
      <c r="L57" s="19">
        <v>56</v>
      </c>
      <c r="M57" s="19">
        <v>0</v>
      </c>
      <c r="N57" s="19">
        <v>10</v>
      </c>
    </row>
    <row r="58" spans="1:17" ht="15.75" customHeight="1">
      <c r="A58" s="78" t="s">
        <v>182</v>
      </c>
      <c r="B58" s="119">
        <f>ROUNDUP(' AZUL 2'!B327,0)</f>
        <v>5</v>
      </c>
      <c r="C58" s="119">
        <f>ROUNDUP(' AZUL 2'!C327,0)</f>
        <v>6</v>
      </c>
      <c r="D58" s="119">
        <f>ROUNDUP(' AZUL 2'!D327,0)</f>
        <v>1</v>
      </c>
      <c r="E58" s="119">
        <f>ROUNDUP(' AZUL 2'!E327,0)</f>
        <v>9</v>
      </c>
      <c r="F58" s="119">
        <f>ROUNDUP(' AZUL 2'!F327,0)</f>
        <v>5</v>
      </c>
      <c r="G58" s="119">
        <f>ROUNDUP(' AZUL 2'!G327,0)</f>
        <v>2</v>
      </c>
      <c r="H58" s="119">
        <v>0</v>
      </c>
      <c r="I58" s="119">
        <f>ROUNDUP(' AZUL 2'!I327,0)</f>
        <v>4</v>
      </c>
      <c r="J58" s="119">
        <f>ROUNDUP(' AZUL 2'!J327,0)</f>
        <v>8</v>
      </c>
      <c r="K58" s="119">
        <f>ROUNDUP(' AZUL 2'!K327,0)</f>
        <v>5</v>
      </c>
      <c r="L58" s="119">
        <f>ROUNDUP(' AZUL 2'!L327,0)</f>
        <v>5</v>
      </c>
      <c r="M58" s="119">
        <f>ROUNDUP(' AZUL 2'!M327,0)</f>
        <v>1</v>
      </c>
      <c r="N58" s="119">
        <f>ROUNDUP(' AZUL 2'!N327,0)</f>
        <v>2</v>
      </c>
    </row>
    <row r="59" spans="1:17" ht="15.75" customHeight="1">
      <c r="A59" s="78" t="s">
        <v>183</v>
      </c>
      <c r="B59" s="119">
        <f>ROUNDUP(' AZUL 2'!B328,0)</f>
        <v>5</v>
      </c>
      <c r="C59" s="119">
        <f>ROUNDUP(' AZUL 2'!C328,0)</f>
        <v>6</v>
      </c>
      <c r="D59" s="119">
        <v>0</v>
      </c>
      <c r="E59" s="119">
        <f>ROUNDUP(' AZUL 2'!E328,0)</f>
        <v>9</v>
      </c>
      <c r="F59" s="119">
        <f>ROUNDUP(' AZUL 2'!F328,0)</f>
        <v>5</v>
      </c>
      <c r="G59" s="119">
        <f>ROUNDUP(' AZUL 2'!G328,0)</f>
        <v>2</v>
      </c>
      <c r="H59" s="119">
        <v>0</v>
      </c>
      <c r="I59" s="119">
        <f>ROUNDUP(' AZUL 2'!I328,0)</f>
        <v>4</v>
      </c>
      <c r="J59" s="119">
        <f>ROUNDUP(' AZUL 2'!J328,0)</f>
        <v>8</v>
      </c>
      <c r="K59" s="119">
        <f>ROUNDUP(' AZUL 2'!K328,0)</f>
        <v>5</v>
      </c>
      <c r="L59" s="119">
        <f>ROUNDUP(' AZUL 2'!L328,0)</f>
        <v>5</v>
      </c>
      <c r="M59" s="119">
        <f>ROUNDUP(' AZUL 2'!M328,0)</f>
        <v>1</v>
      </c>
      <c r="N59" s="119">
        <f>ROUNDUP(' AZUL 2'!N328,0)</f>
        <v>2</v>
      </c>
    </row>
    <row r="60" spans="1:17" ht="15.75" customHeight="1">
      <c r="A60" s="78" t="s">
        <v>184</v>
      </c>
      <c r="B60" s="119">
        <f>ROUNDUP(' AZUL 2'!B329,0)</f>
        <v>5</v>
      </c>
      <c r="C60" s="119">
        <f>ROUNDUP(' AZUL 2'!C329,0)</f>
        <v>6</v>
      </c>
      <c r="D60" s="119">
        <f>ROUNDUP(' AZUL 2'!D329,0)</f>
        <v>1</v>
      </c>
      <c r="E60" s="119">
        <f>ROUNDUP(' AZUL 2'!E329,0)</f>
        <v>9</v>
      </c>
      <c r="F60" s="119">
        <f>ROUNDUP(' AZUL 2'!F329,0)</f>
        <v>5</v>
      </c>
      <c r="G60" s="119">
        <f>ROUNDUP(' AZUL 2'!G329,0)</f>
        <v>2</v>
      </c>
      <c r="H60" s="119">
        <v>0</v>
      </c>
      <c r="I60" s="119">
        <f>ROUNDUP(' AZUL 2'!I329,0)</f>
        <v>4</v>
      </c>
      <c r="J60" s="119">
        <f>ROUNDUP(' AZUL 2'!J329,0)</f>
        <v>8</v>
      </c>
      <c r="K60" s="119">
        <f>ROUNDUP(' AZUL 2'!K329,0)</f>
        <v>5</v>
      </c>
      <c r="L60" s="119">
        <f>ROUNDUP(' AZUL 2'!L329,0)</f>
        <v>5</v>
      </c>
      <c r="M60" s="119">
        <f>ROUNDUP(' AZUL 2'!M329,0)</f>
        <v>1</v>
      </c>
      <c r="N60" s="119">
        <f>ROUNDUP(' AZUL 2'!N329,0)</f>
        <v>2</v>
      </c>
    </row>
    <row r="61" spans="1:17" ht="15.75" customHeight="1">
      <c r="A61" s="81" t="s">
        <v>185</v>
      </c>
      <c r="B61" s="119">
        <f>ROUNDUP(' AZUL 2'!B330,0)</f>
        <v>5</v>
      </c>
      <c r="C61" s="119">
        <f>ROUNDUP(' AZUL 2'!C330,0)</f>
        <v>6</v>
      </c>
      <c r="D61" s="119">
        <v>0</v>
      </c>
      <c r="E61" s="119">
        <f>ROUNDUP(' AZUL 2'!E330,0)</f>
        <v>9</v>
      </c>
      <c r="F61" s="119">
        <f>ROUNDUP(' AZUL 2'!F330,0)</f>
        <v>5</v>
      </c>
      <c r="G61" s="119">
        <f>ROUNDUP(' AZUL 2'!G330,0)</f>
        <v>2</v>
      </c>
      <c r="H61" s="119">
        <v>0</v>
      </c>
      <c r="I61" s="119">
        <f>ROUNDUP(' AZUL 2'!I330,0)</f>
        <v>4</v>
      </c>
      <c r="J61" s="119">
        <f>ROUNDUP(' AZUL 2'!J330,0)</f>
        <v>8</v>
      </c>
      <c r="K61" s="119">
        <f>ROUNDUP(' AZUL 2'!K330,0)</f>
        <v>5</v>
      </c>
      <c r="L61" s="119">
        <f>ROUNDUP(' AZUL 2'!L330,0)</f>
        <v>5</v>
      </c>
      <c r="M61" s="119">
        <f>ROUNDUP(' AZUL 2'!M330,0)</f>
        <v>1</v>
      </c>
      <c r="N61" s="119">
        <f>ROUNDUP(' AZUL 2'!N330,0)</f>
        <v>2</v>
      </c>
    </row>
    <row r="62" spans="1:17" ht="15.75" customHeight="1">
      <c r="A62" s="81" t="s">
        <v>186</v>
      </c>
      <c r="B62" s="119">
        <f>ROUNDUP(' AZUL 2'!B331,0)</f>
        <v>5</v>
      </c>
      <c r="C62" s="119">
        <f>ROUNDUP(' AZUL 2'!C331,0)</f>
        <v>6</v>
      </c>
      <c r="D62" s="119">
        <f>ROUNDUP(' AZUL 2'!D331,0)</f>
        <v>1</v>
      </c>
      <c r="E62" s="119">
        <f>ROUNDUP(' AZUL 2'!E331,0)</f>
        <v>9</v>
      </c>
      <c r="F62" s="119">
        <f>ROUNDUP(' AZUL 2'!F331,0)</f>
        <v>5</v>
      </c>
      <c r="G62" s="119">
        <f>ROUNDUP(' AZUL 2'!G331,0)</f>
        <v>2</v>
      </c>
      <c r="H62" s="119">
        <v>0</v>
      </c>
      <c r="I62" s="119">
        <f>ROUNDUP(' AZUL 2'!I331,0)</f>
        <v>4</v>
      </c>
      <c r="J62" s="119">
        <f>ROUNDUP(' AZUL 2'!J331,0)</f>
        <v>8</v>
      </c>
      <c r="K62" s="119">
        <f>ROUNDUP(' AZUL 2'!K331,0)</f>
        <v>5</v>
      </c>
      <c r="L62" s="119">
        <f>ROUNDUP(' AZUL 2'!L331,0)</f>
        <v>5</v>
      </c>
      <c r="M62" s="119">
        <f>ROUNDUP(' AZUL 2'!M331,0)</f>
        <v>1</v>
      </c>
      <c r="N62" s="119">
        <f>ROUNDUP(' AZUL 2'!N331,0)</f>
        <v>2</v>
      </c>
    </row>
    <row r="63" spans="1:17" ht="15.75" customHeight="1">
      <c r="A63" s="81" t="s">
        <v>187</v>
      </c>
      <c r="B63" s="119">
        <f>ROUNDUP(' AZUL 2'!B332,0)</f>
        <v>0</v>
      </c>
      <c r="C63" s="119">
        <f>ROUNDUP(' AZUL 2'!C332,0)</f>
        <v>0</v>
      </c>
      <c r="D63" s="119">
        <f>ROUNDUP(' AZUL 2'!D332,0)</f>
        <v>0</v>
      </c>
      <c r="E63" s="119">
        <f>ROUNDUP(' AZUL 2'!E332,0)</f>
        <v>0</v>
      </c>
      <c r="F63" s="119">
        <f>ROUNDUP(' AZUL 2'!F332,0)</f>
        <v>0</v>
      </c>
      <c r="G63" s="119">
        <f>ROUNDUP(' AZUL 2'!G332,0)</f>
        <v>0</v>
      </c>
      <c r="H63" s="119">
        <f>ROUNDUP(' AZUL 2'!H332,0)</f>
        <v>0</v>
      </c>
      <c r="I63" s="119">
        <f>ROUNDUP(' AZUL 2'!I332,0)</f>
        <v>0</v>
      </c>
      <c r="J63" s="119">
        <f>ROUNDUP(' AZUL 2'!J332,0)</f>
        <v>0</v>
      </c>
      <c r="K63" s="119">
        <f>ROUNDUP(' AZUL 2'!K332,0)</f>
        <v>0</v>
      </c>
      <c r="L63" s="119">
        <f>ROUNDUP(' AZUL 2'!L332,0)</f>
        <v>0</v>
      </c>
      <c r="M63" s="119">
        <f>ROUNDUP(' AZUL 2'!M332,0)</f>
        <v>0</v>
      </c>
      <c r="N63" s="119">
        <f>ROUNDUP(' AZUL 2'!N332,0)</f>
        <v>0</v>
      </c>
    </row>
    <row r="64" spans="1:17" ht="15.75" customHeight="1"/>
    <row r="65" spans="1:14" ht="15.75" customHeight="1"/>
    <row r="66" spans="1:14" ht="15.75" customHeight="1"/>
    <row r="67" spans="1:14" ht="15.75" customHeight="1">
      <c r="B67" s="26" t="s">
        <v>34</v>
      </c>
      <c r="C67" s="27" t="s">
        <v>35</v>
      </c>
      <c r="D67" s="26" t="s">
        <v>36</v>
      </c>
      <c r="E67" s="26" t="s">
        <v>37</v>
      </c>
      <c r="F67" s="26" t="s">
        <v>38</v>
      </c>
      <c r="G67" s="151" t="s">
        <v>39</v>
      </c>
      <c r="H67" s="151" t="s">
        <v>40</v>
      </c>
      <c r="I67" s="26" t="s">
        <v>41</v>
      </c>
      <c r="J67" s="26" t="s">
        <v>42</v>
      </c>
      <c r="K67" s="26" t="s">
        <v>43</v>
      </c>
      <c r="L67" s="26" t="s">
        <v>44</v>
      </c>
      <c r="M67" s="26" t="s">
        <v>45</v>
      </c>
      <c r="N67" s="26" t="s">
        <v>46</v>
      </c>
    </row>
    <row r="68" spans="1:14" ht="15.75" customHeight="1">
      <c r="B68" s="19">
        <v>49</v>
      </c>
      <c r="C68" s="19">
        <v>230</v>
      </c>
      <c r="D68" s="19">
        <v>19</v>
      </c>
      <c r="E68" s="19">
        <v>38</v>
      </c>
      <c r="F68" s="19">
        <v>26</v>
      </c>
      <c r="G68" s="19">
        <v>5</v>
      </c>
      <c r="H68" s="19">
        <v>5</v>
      </c>
      <c r="I68" s="19">
        <v>8</v>
      </c>
      <c r="J68" s="19">
        <v>8</v>
      </c>
      <c r="K68" s="19">
        <v>7</v>
      </c>
      <c r="L68" s="19">
        <v>10</v>
      </c>
      <c r="M68" s="19">
        <v>17</v>
      </c>
      <c r="N68" s="19">
        <v>9</v>
      </c>
    </row>
    <row r="69" spans="1:14" ht="15.75" customHeight="1">
      <c r="B69" s="19">
        <v>40</v>
      </c>
      <c r="C69" s="19">
        <v>115</v>
      </c>
      <c r="D69" s="19">
        <v>0</v>
      </c>
      <c r="E69" s="19">
        <v>0</v>
      </c>
      <c r="F69" s="19">
        <v>13</v>
      </c>
      <c r="G69" s="19">
        <v>1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3</v>
      </c>
    </row>
    <row r="70" spans="1:14" ht="15.75" customHeight="1">
      <c r="A70" s="78" t="s">
        <v>182</v>
      </c>
      <c r="B70" s="79">
        <f>ROUNDUP(' AZUL 2'!B339,0)</f>
        <v>3</v>
      </c>
      <c r="C70" s="79">
        <f>ROUNDUP(' AZUL 2'!C339,0)</f>
        <v>12</v>
      </c>
      <c r="D70" s="79">
        <f>ROUNDUP(' AZUL 2'!D339,0)</f>
        <v>1</v>
      </c>
      <c r="E70" s="79">
        <f>ROUNDUP(' AZUL 2'!E339,0)</f>
        <v>2</v>
      </c>
      <c r="F70" s="79">
        <f>ROUNDUP(' AZUL 2'!F339,0)</f>
        <v>2</v>
      </c>
      <c r="G70" s="79">
        <v>0</v>
      </c>
      <c r="H70" s="79">
        <v>0</v>
      </c>
      <c r="I70" s="79">
        <f>ROUNDUP(' AZUL 2'!I339,0)</f>
        <v>1</v>
      </c>
      <c r="J70" s="79">
        <f>ROUNDUP(' AZUL 2'!J339,0)</f>
        <v>1</v>
      </c>
      <c r="K70" s="79">
        <v>0</v>
      </c>
      <c r="L70" s="79">
        <f>ROUNDUP(' AZUL 2'!L339,0)</f>
        <v>1</v>
      </c>
      <c r="M70" s="79">
        <f>ROUNDUP(' AZUL 2'!M339,0)</f>
        <v>1</v>
      </c>
      <c r="N70" s="79">
        <f>ROUNDUP(' AZUL 2'!N339,0)</f>
        <v>1</v>
      </c>
    </row>
    <row r="71" spans="1:14" ht="15.75" customHeight="1">
      <c r="A71" s="78" t="s">
        <v>183</v>
      </c>
      <c r="B71" s="79">
        <f>ROUNDUP(' AZUL 2'!B340,0)</f>
        <v>3</v>
      </c>
      <c r="C71" s="79">
        <f>ROUNDUP(' AZUL 2'!C340,0)</f>
        <v>12</v>
      </c>
      <c r="D71" s="79">
        <f>ROUNDUP(' AZUL 2'!D340,0)</f>
        <v>1</v>
      </c>
      <c r="E71" s="79">
        <f>ROUNDUP(' AZUL 2'!E340,0)</f>
        <v>2</v>
      </c>
      <c r="F71" s="79">
        <f>ROUNDUP(' AZUL 2'!F340,0)</f>
        <v>2</v>
      </c>
      <c r="G71" s="79">
        <v>0</v>
      </c>
      <c r="H71" s="79">
        <v>0</v>
      </c>
      <c r="I71" s="79">
        <v>0</v>
      </c>
      <c r="J71" s="79">
        <v>0</v>
      </c>
      <c r="K71" s="79">
        <v>0</v>
      </c>
      <c r="L71" s="79">
        <v>0</v>
      </c>
      <c r="M71" s="79">
        <f>ROUNDUP(' AZUL 2'!M340,0)</f>
        <v>1</v>
      </c>
      <c r="N71" s="79">
        <f>ROUNDUP(' AZUL 2'!N340,0)</f>
        <v>1</v>
      </c>
    </row>
    <row r="72" spans="1:14" ht="15.75" customHeight="1">
      <c r="A72" s="78" t="s">
        <v>184</v>
      </c>
      <c r="B72" s="79">
        <f>ROUNDUP(' AZUL 2'!B341,0)</f>
        <v>3</v>
      </c>
      <c r="C72" s="79">
        <f>ROUNDUP(' AZUL 2'!C341,0)</f>
        <v>12</v>
      </c>
      <c r="D72" s="79">
        <f>ROUNDUP(' AZUL 2'!D341,0)</f>
        <v>1</v>
      </c>
      <c r="E72" s="79">
        <f>ROUNDUP(' AZUL 2'!E341,0)</f>
        <v>2</v>
      </c>
      <c r="F72" s="79">
        <f>ROUNDUP(' AZUL 2'!F341,0)</f>
        <v>2</v>
      </c>
      <c r="G72" s="79">
        <v>0</v>
      </c>
      <c r="H72" s="79">
        <v>0</v>
      </c>
      <c r="I72" s="79">
        <f>ROUNDUP(' AZUL 2'!I341,0)</f>
        <v>1</v>
      </c>
      <c r="J72" s="79">
        <f>ROUNDUP(' AZUL 2'!J341,0)</f>
        <v>1</v>
      </c>
      <c r="K72" s="79">
        <v>0</v>
      </c>
      <c r="L72" s="79">
        <f>ROUNDUP(' AZUL 2'!L341,0)</f>
        <v>1</v>
      </c>
      <c r="M72" s="79">
        <f>ROUNDUP(' AZUL 2'!M341,0)</f>
        <v>1</v>
      </c>
      <c r="N72" s="79">
        <f>ROUNDUP(' AZUL 2'!N341,0)</f>
        <v>1</v>
      </c>
    </row>
    <row r="73" spans="1:14" ht="15.75" customHeight="1">
      <c r="A73" s="81" t="s">
        <v>185</v>
      </c>
      <c r="B73" s="79">
        <f>ROUNDUP(' AZUL 2'!B342,0)</f>
        <v>3</v>
      </c>
      <c r="C73" s="79">
        <f>ROUNDUP(' AZUL 2'!C342,0)</f>
        <v>12</v>
      </c>
      <c r="D73" s="79">
        <f>ROUNDUP(' AZUL 2'!D342,0)</f>
        <v>1</v>
      </c>
      <c r="E73" s="79">
        <f>ROUNDUP(' AZUL 2'!E342,0)</f>
        <v>2</v>
      </c>
      <c r="F73" s="79">
        <f>ROUNDUP(' AZUL 2'!F342,0)</f>
        <v>2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f>ROUNDUP(' AZUL 2'!M342,0)</f>
        <v>1</v>
      </c>
      <c r="N73" s="79">
        <f>ROUNDUP(' AZUL 2'!N342,0)</f>
        <v>1</v>
      </c>
    </row>
    <row r="74" spans="1:14" ht="15.75" customHeight="1">
      <c r="A74" s="81" t="s">
        <v>186</v>
      </c>
      <c r="B74" s="79">
        <f>ROUNDUP(' AZUL 2'!B343,0)</f>
        <v>3</v>
      </c>
      <c r="C74" s="79">
        <f>ROUNDUP(' AZUL 2'!C343,0)</f>
        <v>12</v>
      </c>
      <c r="D74" s="79">
        <f>ROUNDUP(' AZUL 2'!D343,0)</f>
        <v>1</v>
      </c>
      <c r="E74" s="79">
        <f>ROUNDUP(' AZUL 2'!E343,0)</f>
        <v>2</v>
      </c>
      <c r="F74" s="79">
        <f>ROUNDUP(' AZUL 2'!F343,0)</f>
        <v>2</v>
      </c>
      <c r="G74" s="79">
        <v>0</v>
      </c>
      <c r="H74" s="79">
        <v>0</v>
      </c>
      <c r="I74" s="79">
        <f>ROUNDUP(' AZUL 2'!I343,0)</f>
        <v>1</v>
      </c>
      <c r="J74" s="79">
        <f>ROUNDUP(' AZUL 2'!J343,0)</f>
        <v>1</v>
      </c>
      <c r="K74" s="79">
        <v>0</v>
      </c>
      <c r="L74" s="79">
        <f>ROUNDUP(' AZUL 2'!L343,0)</f>
        <v>1</v>
      </c>
      <c r="M74" s="79">
        <f>ROUNDUP(' AZUL 2'!M343,0)</f>
        <v>1</v>
      </c>
      <c r="N74" s="79">
        <f>ROUNDUP(' AZUL 2'!N343,0)</f>
        <v>1</v>
      </c>
    </row>
    <row r="75" spans="1:14" ht="15.75" customHeight="1">
      <c r="A75" s="81" t="s">
        <v>187</v>
      </c>
      <c r="B75" s="79">
        <f>ROUNDUP(' AZUL 2'!B344,0)</f>
        <v>0</v>
      </c>
      <c r="C75" s="79">
        <f>ROUNDUP(' AZUL 2'!C344,0)</f>
        <v>0</v>
      </c>
      <c r="D75" s="79">
        <f>ROUNDUP(' AZUL 2'!D344,0)</f>
        <v>0</v>
      </c>
      <c r="E75" s="79">
        <f>ROUNDUP(' AZUL 2'!E344,0)</f>
        <v>0</v>
      </c>
      <c r="F75" s="79">
        <f>ROUNDUP(' AZUL 2'!F344,0)</f>
        <v>0</v>
      </c>
      <c r="G75" s="79">
        <f>ROUNDUP(' AZUL 2'!G344,0)</f>
        <v>0</v>
      </c>
      <c r="H75" s="79">
        <f>ROUNDUP(' AZUL 2'!H344,0)</f>
        <v>0</v>
      </c>
      <c r="I75" s="79">
        <f>ROUNDUP(' AZUL 2'!I344,0)</f>
        <v>0</v>
      </c>
      <c r="J75" s="79">
        <f>ROUNDUP(' AZUL 2'!J344,0)</f>
        <v>0</v>
      </c>
      <c r="K75" s="79">
        <f>ROUNDUP(' AZUL 2'!K344,0)</f>
        <v>0</v>
      </c>
      <c r="L75" s="79">
        <f>ROUNDUP(' AZUL 2'!L344,0)</f>
        <v>0</v>
      </c>
      <c r="M75" s="79">
        <f>ROUNDUP(' AZUL 2'!M344,0)</f>
        <v>0</v>
      </c>
      <c r="N75" s="79">
        <f>ROUNDUP(' AZUL 2'!N344,0)</f>
        <v>0</v>
      </c>
    </row>
    <row r="76" spans="1:14" ht="15.75" customHeight="1"/>
    <row r="77" spans="1:14" ht="15.75" customHeight="1">
      <c r="B77" s="26" t="s">
        <v>47</v>
      </c>
      <c r="C77" s="26" t="s">
        <v>48</v>
      </c>
      <c r="D77" s="26" t="s">
        <v>49</v>
      </c>
      <c r="E77" s="26" t="s">
        <v>50</v>
      </c>
      <c r="F77" s="26" t="s">
        <v>51</v>
      </c>
      <c r="G77" s="26" t="s">
        <v>52</v>
      </c>
      <c r="H77" s="26" t="s">
        <v>53</v>
      </c>
      <c r="I77" s="26" t="s">
        <v>54</v>
      </c>
      <c r="J77" s="26" t="s">
        <v>54</v>
      </c>
      <c r="K77" s="26" t="s">
        <v>55</v>
      </c>
      <c r="L77" s="26" t="s">
        <v>56</v>
      </c>
      <c r="M77" s="26" t="s">
        <v>56</v>
      </c>
      <c r="N77" s="27" t="s">
        <v>57</v>
      </c>
    </row>
    <row r="78" spans="1:14" ht="15.75" customHeight="1">
      <c r="B78" s="63"/>
      <c r="C78" s="63"/>
      <c r="D78" s="63"/>
      <c r="E78" s="63"/>
      <c r="F78" s="26" t="s">
        <v>58</v>
      </c>
      <c r="G78" s="63"/>
      <c r="H78" s="63"/>
      <c r="I78" s="26" t="s">
        <v>6</v>
      </c>
      <c r="J78" s="26" t="s">
        <v>59</v>
      </c>
      <c r="K78" s="63"/>
      <c r="L78" s="26" t="s">
        <v>60</v>
      </c>
      <c r="M78" s="26" t="s">
        <v>61</v>
      </c>
      <c r="N78" s="26" t="s">
        <v>62</v>
      </c>
    </row>
    <row r="79" spans="1:14" ht="15.75" customHeight="1">
      <c r="B79" s="19">
        <v>167</v>
      </c>
      <c r="C79" s="19">
        <v>148</v>
      </c>
      <c r="D79" s="19">
        <v>7</v>
      </c>
      <c r="E79" s="19">
        <v>178</v>
      </c>
      <c r="F79" s="19">
        <v>108</v>
      </c>
      <c r="G79" s="19">
        <v>35</v>
      </c>
      <c r="H79" s="19">
        <v>149</v>
      </c>
      <c r="I79" s="19">
        <v>99</v>
      </c>
      <c r="J79" s="19">
        <v>33</v>
      </c>
      <c r="K79" s="19">
        <v>150</v>
      </c>
      <c r="L79" s="19">
        <v>123</v>
      </c>
      <c r="M79" s="19">
        <v>78</v>
      </c>
      <c r="N79" s="19">
        <v>170</v>
      </c>
    </row>
    <row r="80" spans="1:14" ht="15.75" customHeight="1">
      <c r="B80" s="19">
        <v>60</v>
      </c>
      <c r="C80" s="19">
        <v>100</v>
      </c>
      <c r="D80" s="19">
        <v>0</v>
      </c>
      <c r="E80" s="19">
        <v>89</v>
      </c>
      <c r="F80" s="19">
        <v>0</v>
      </c>
      <c r="G80" s="19">
        <v>0</v>
      </c>
      <c r="H80" s="19">
        <v>149</v>
      </c>
      <c r="I80" s="19">
        <v>0</v>
      </c>
      <c r="J80" s="19">
        <v>0</v>
      </c>
      <c r="K80" s="19">
        <v>95</v>
      </c>
      <c r="L80" s="19">
        <v>0</v>
      </c>
      <c r="M80" s="19">
        <v>0</v>
      </c>
      <c r="N80" s="19">
        <v>70</v>
      </c>
    </row>
    <row r="81" spans="1:14" ht="15.75" customHeight="1">
      <c r="A81" s="78" t="s">
        <v>182</v>
      </c>
      <c r="B81" s="79">
        <f>ROUNDUP(' AZUL 2'!B350,0)</f>
        <v>9</v>
      </c>
      <c r="C81" s="79">
        <f>ROUNDUP(' AZUL 2'!C350,0)</f>
        <v>8</v>
      </c>
      <c r="D81" s="79">
        <f>ROUNDUP(' AZUL 2'!D350,0)</f>
        <v>1</v>
      </c>
      <c r="E81" s="79">
        <f>ROUNDUP(' AZUL 2'!E350,0)</f>
        <v>9</v>
      </c>
      <c r="F81" s="79">
        <f>ROUNDUP(' AZUL 2'!F350,0)</f>
        <v>6</v>
      </c>
      <c r="G81" s="79">
        <f>ROUNDUP(' AZUL 2'!G350,0)</f>
        <v>2</v>
      </c>
      <c r="H81" s="79">
        <f>ROUNDUP(' AZUL 2'!H350,0)</f>
        <v>8</v>
      </c>
      <c r="I81" s="79">
        <f>ROUNDUP(' AZUL 2'!I350,0)</f>
        <v>5</v>
      </c>
      <c r="J81" s="79">
        <f>ROUNDUP(' AZUL 2'!J350,0)</f>
        <v>2</v>
      </c>
      <c r="K81" s="79">
        <f>ROUNDUP(' AZUL 2'!K350,0)</f>
        <v>8</v>
      </c>
      <c r="L81" s="79">
        <f>ROUNDUP(' AZUL 2'!L350,0)</f>
        <v>7</v>
      </c>
      <c r="M81" s="79">
        <f>ROUNDUP(' AZUL 2'!M350,0)</f>
        <v>4</v>
      </c>
      <c r="N81" s="79">
        <f>ROUNDUP(' AZUL 2'!N350,0)</f>
        <v>9</v>
      </c>
    </row>
    <row r="82" spans="1:14" ht="15.75" customHeight="1">
      <c r="A82" s="78" t="s">
        <v>183</v>
      </c>
      <c r="B82" s="79">
        <f>ROUNDUP(' AZUL 2'!B351,0)</f>
        <v>9</v>
      </c>
      <c r="C82" s="79">
        <f>ROUNDUP(' AZUL 2'!C351,0)</f>
        <v>8</v>
      </c>
      <c r="D82" s="79">
        <v>0</v>
      </c>
      <c r="E82" s="79">
        <f>ROUNDUP(' AZUL 2'!E351,0)</f>
        <v>9</v>
      </c>
      <c r="F82" s="79">
        <f>ROUNDUP(' AZUL 2'!F351,0)</f>
        <v>6</v>
      </c>
      <c r="G82" s="79">
        <f>ROUNDUP(' AZUL 2'!G351,0)</f>
        <v>2</v>
      </c>
      <c r="H82" s="79">
        <f>ROUNDUP(' AZUL 2'!H351,0)</f>
        <v>8</v>
      </c>
      <c r="I82" s="79">
        <f>ROUNDUP(' AZUL 2'!I351,0)</f>
        <v>5</v>
      </c>
      <c r="J82" s="79">
        <f>ROUNDUP(' AZUL 2'!J351,0)</f>
        <v>2</v>
      </c>
      <c r="K82" s="79">
        <f>ROUNDUP(' AZUL 2'!K351,0)</f>
        <v>8</v>
      </c>
      <c r="L82" s="79">
        <v>6</v>
      </c>
      <c r="M82" s="79">
        <v>4</v>
      </c>
      <c r="N82" s="79">
        <f>ROUNDUP(' AZUL 2'!N351,0)</f>
        <v>9</v>
      </c>
    </row>
    <row r="83" spans="1:14" ht="15.75" customHeight="1">
      <c r="A83" s="78" t="s">
        <v>184</v>
      </c>
      <c r="B83" s="79">
        <f>ROUNDUP(' AZUL 2'!B352,0)</f>
        <v>9</v>
      </c>
      <c r="C83" s="79">
        <f>ROUNDUP(' AZUL 2'!C352,0)</f>
        <v>8</v>
      </c>
      <c r="D83" s="79">
        <f>ROUNDUP(' AZUL 2'!D352,0)</f>
        <v>1</v>
      </c>
      <c r="E83" s="79">
        <f>ROUNDUP(' AZUL 2'!E352,0)</f>
        <v>9</v>
      </c>
      <c r="F83" s="79">
        <f>ROUNDUP(' AZUL 2'!F352,0)</f>
        <v>6</v>
      </c>
      <c r="G83" s="79">
        <f>ROUNDUP(' AZUL 2'!G352,0)</f>
        <v>2</v>
      </c>
      <c r="H83" s="79">
        <f>ROUNDUP(' AZUL 2'!H352,0)</f>
        <v>8</v>
      </c>
      <c r="I83" s="79">
        <f>ROUNDUP(' AZUL 2'!I352,0)</f>
        <v>5</v>
      </c>
      <c r="J83" s="79">
        <f>ROUNDUP(' AZUL 2'!J352,0)</f>
        <v>2</v>
      </c>
      <c r="K83" s="79">
        <f>ROUNDUP(' AZUL 2'!K352,0)</f>
        <v>8</v>
      </c>
      <c r="L83" s="79">
        <f>ROUNDUP(' AZUL 2'!L352,0)</f>
        <v>7</v>
      </c>
      <c r="M83" s="79">
        <f>ROUNDUP(' AZUL 2'!M352,0)</f>
        <v>4</v>
      </c>
      <c r="N83" s="79">
        <f>ROUNDUP(' AZUL 2'!N352,0)</f>
        <v>9</v>
      </c>
    </row>
    <row r="84" spans="1:14" ht="15.75" customHeight="1">
      <c r="A84" s="81" t="s">
        <v>185</v>
      </c>
      <c r="B84" s="79">
        <f>ROUNDUP(' AZUL 2'!B353,0)</f>
        <v>9</v>
      </c>
      <c r="C84" s="79">
        <f>ROUNDUP(' AZUL 2'!C353,0)</f>
        <v>8</v>
      </c>
      <c r="D84" s="79">
        <v>0</v>
      </c>
      <c r="E84" s="79">
        <f>ROUNDUP(' AZUL 2'!E353,0)</f>
        <v>9</v>
      </c>
      <c r="F84" s="79">
        <f>ROUNDUP(' AZUL 2'!F353,0)</f>
        <v>6</v>
      </c>
      <c r="G84" s="79">
        <f>ROUNDUP(' AZUL 2'!G353,0)</f>
        <v>2</v>
      </c>
      <c r="H84" s="79">
        <f>ROUNDUP(' AZUL 2'!H353,0)</f>
        <v>8</v>
      </c>
      <c r="I84" s="79">
        <f>ROUNDUP(' AZUL 2'!I353,0)</f>
        <v>5</v>
      </c>
      <c r="J84" s="79">
        <f>ROUNDUP(' AZUL 2'!J353,0)</f>
        <v>2</v>
      </c>
      <c r="K84" s="79">
        <f>ROUNDUP(' AZUL 2'!K353,0)</f>
        <v>8</v>
      </c>
      <c r="L84" s="79">
        <v>6</v>
      </c>
      <c r="M84" s="79">
        <v>4</v>
      </c>
      <c r="N84" s="79">
        <f>ROUNDUP(' AZUL 2'!N353,0)</f>
        <v>9</v>
      </c>
    </row>
    <row r="85" spans="1:14" ht="15.75" customHeight="1">
      <c r="A85" s="81" t="s">
        <v>186</v>
      </c>
      <c r="B85" s="79">
        <f>ROUNDUP(' AZUL 2'!B354,0)</f>
        <v>9</v>
      </c>
      <c r="C85" s="79">
        <f>ROUNDUP(' AZUL 2'!C354,0)</f>
        <v>8</v>
      </c>
      <c r="D85" s="79">
        <f>ROUNDUP(' AZUL 2'!D354,0)</f>
        <v>1</v>
      </c>
      <c r="E85" s="79">
        <f>ROUNDUP(' AZUL 2'!E354,0)</f>
        <v>9</v>
      </c>
      <c r="F85" s="79">
        <f>ROUNDUP(' AZUL 2'!F354,0)</f>
        <v>6</v>
      </c>
      <c r="G85" s="79">
        <f>ROUNDUP(' AZUL 2'!G354,0)</f>
        <v>2</v>
      </c>
      <c r="H85" s="79">
        <f>ROUNDUP(' AZUL 2'!H354,0)</f>
        <v>8</v>
      </c>
      <c r="I85" s="79">
        <f>ROUNDUP(' AZUL 2'!I354,0)</f>
        <v>5</v>
      </c>
      <c r="J85" s="79">
        <f>ROUNDUP(' AZUL 2'!J354,0)</f>
        <v>2</v>
      </c>
      <c r="K85" s="79">
        <f>ROUNDUP(' AZUL 2'!K354,0)</f>
        <v>8</v>
      </c>
      <c r="L85" s="79">
        <f>ROUNDUP(' AZUL 2'!L354,0)</f>
        <v>7</v>
      </c>
      <c r="M85" s="79">
        <f>ROUNDUP(' AZUL 2'!M354,0)</f>
        <v>4</v>
      </c>
      <c r="N85" s="79">
        <f>ROUNDUP(' AZUL 2'!N354,0)</f>
        <v>9</v>
      </c>
    </row>
    <row r="86" spans="1:14" ht="15.75" customHeight="1">
      <c r="A86" s="81" t="s">
        <v>187</v>
      </c>
      <c r="B86" s="79">
        <f>ROUNDUP(' AZUL 2'!B355,0)</f>
        <v>0</v>
      </c>
      <c r="C86" s="79">
        <f>ROUNDUP(' AZUL 2'!C355,0)</f>
        <v>0</v>
      </c>
      <c r="D86" s="79">
        <f>ROUNDUP(' AZUL 2'!D355,0)</f>
        <v>0</v>
      </c>
      <c r="E86" s="79">
        <f>ROUNDUP(' AZUL 2'!E355,0)</f>
        <v>0</v>
      </c>
      <c r="F86" s="79">
        <f>ROUNDUP(' AZUL 2'!F355,0)</f>
        <v>0</v>
      </c>
      <c r="G86" s="79">
        <f>ROUNDUP(' AZUL 2'!G355,0)</f>
        <v>0</v>
      </c>
      <c r="H86" s="79">
        <f>ROUNDUP(' AZUL 2'!H355,0)</f>
        <v>0</v>
      </c>
      <c r="I86" s="79">
        <f>ROUNDUP(' AZUL 2'!I355,0)</f>
        <v>0</v>
      </c>
      <c r="J86" s="79">
        <f>ROUNDUP(' AZUL 2'!J355,0)</f>
        <v>0</v>
      </c>
      <c r="K86" s="79">
        <f>ROUNDUP(' AZUL 2'!K355,0)</f>
        <v>0</v>
      </c>
      <c r="L86" s="79">
        <f>ROUNDUP(' AZUL 2'!L355,0)</f>
        <v>0</v>
      </c>
      <c r="M86" s="79">
        <f>ROUNDUP(' AZUL 2'!M355,0)</f>
        <v>0</v>
      </c>
      <c r="N86" s="79">
        <f>ROUNDUP(' AZUL 2'!N355,0)</f>
        <v>0</v>
      </c>
    </row>
    <row r="87" spans="1:14" ht="15.75" customHeight="1"/>
    <row r="88" spans="1:14" ht="15.75" customHeight="1">
      <c r="B88" s="26" t="s">
        <v>63</v>
      </c>
      <c r="C88" s="26" t="s">
        <v>64</v>
      </c>
      <c r="D88" s="26" t="s">
        <v>65</v>
      </c>
      <c r="E88" s="64" t="s">
        <v>66</v>
      </c>
      <c r="F88" s="34" t="s">
        <v>67</v>
      </c>
      <c r="G88" s="108" t="s">
        <v>68</v>
      </c>
      <c r="H88" s="26">
        <v>502</v>
      </c>
      <c r="I88" s="26">
        <v>503</v>
      </c>
      <c r="J88" s="26">
        <v>504</v>
      </c>
      <c r="K88" s="26">
        <v>505</v>
      </c>
      <c r="L88" s="66" t="s">
        <v>69</v>
      </c>
      <c r="M88" s="67" t="s">
        <v>70</v>
      </c>
      <c r="N88" s="67" t="s">
        <v>71</v>
      </c>
    </row>
    <row r="89" spans="1:14" ht="15.75" customHeight="1">
      <c r="B89" s="36" t="s">
        <v>34</v>
      </c>
      <c r="C89" s="37"/>
      <c r="D89" s="37"/>
      <c r="E89" s="36" t="s">
        <v>72</v>
      </c>
      <c r="F89" s="38"/>
      <c r="G89" s="109"/>
      <c r="H89" s="37"/>
      <c r="I89" s="37"/>
      <c r="J89" s="37"/>
      <c r="K89" s="37"/>
      <c r="L89" s="37"/>
      <c r="M89" s="37"/>
      <c r="N89" s="37"/>
    </row>
    <row r="90" spans="1:14" ht="15.75" customHeight="1">
      <c r="B90" s="19">
        <v>68</v>
      </c>
      <c r="C90" s="40">
        <v>566</v>
      </c>
      <c r="D90" s="19">
        <v>850</v>
      </c>
      <c r="E90" s="19">
        <v>121</v>
      </c>
      <c r="F90" s="19">
        <v>100</v>
      </c>
      <c r="G90" s="19">
        <v>108</v>
      </c>
      <c r="H90" s="19">
        <v>124</v>
      </c>
      <c r="I90" s="19">
        <v>46</v>
      </c>
      <c r="J90" s="19">
        <v>50</v>
      </c>
      <c r="K90" s="19">
        <v>104</v>
      </c>
      <c r="L90" s="19">
        <v>60</v>
      </c>
      <c r="M90" s="19">
        <v>42</v>
      </c>
      <c r="N90" s="19">
        <v>103</v>
      </c>
    </row>
    <row r="91" spans="1:14" ht="15.75" customHeight="1">
      <c r="B91" s="19">
        <v>68</v>
      </c>
      <c r="C91" s="41">
        <v>160</v>
      </c>
      <c r="D91" s="19">
        <v>0</v>
      </c>
      <c r="E91" s="19">
        <v>0</v>
      </c>
      <c r="F91" s="19">
        <v>100</v>
      </c>
      <c r="G91" s="19">
        <v>54</v>
      </c>
      <c r="H91" s="19">
        <v>62</v>
      </c>
      <c r="I91" s="19">
        <v>23</v>
      </c>
      <c r="J91" s="19">
        <v>25</v>
      </c>
      <c r="K91" s="19">
        <v>52</v>
      </c>
      <c r="L91" s="19">
        <v>30</v>
      </c>
      <c r="M91" s="19">
        <v>19</v>
      </c>
      <c r="N91" s="19">
        <v>103</v>
      </c>
    </row>
    <row r="92" spans="1:14" ht="15.75" customHeight="1">
      <c r="A92" s="78" t="s">
        <v>182</v>
      </c>
      <c r="B92" s="79">
        <f>ROUNDUP(' AZUL 2'!B361,0)</f>
        <v>4</v>
      </c>
      <c r="C92" s="79">
        <f>ROUNDUP(' AZUL 2'!C361,0)</f>
        <v>29</v>
      </c>
      <c r="D92" s="79">
        <f>ROUNDUP(' AZUL 2'!D361,0)</f>
        <v>43</v>
      </c>
      <c r="E92" s="79">
        <f>ROUNDUP(' AZUL 2'!E361,0)</f>
        <v>7</v>
      </c>
      <c r="F92" s="79">
        <f>ROUNDUP(' AZUL 2'!F361,0)</f>
        <v>5</v>
      </c>
      <c r="G92" s="79">
        <v>0</v>
      </c>
      <c r="H92" s="79">
        <f>ROUNDUP(' AZUL 2'!H361,0)</f>
        <v>7</v>
      </c>
      <c r="I92" s="79">
        <f>ROUNDUP(' AZUL 2'!I361,0)</f>
        <v>3</v>
      </c>
      <c r="J92" s="79">
        <f>ROUNDUP(' AZUL 2'!J361,0)</f>
        <v>3</v>
      </c>
      <c r="K92" s="79">
        <f>ROUNDUP(' AZUL 2'!K361,0)</f>
        <v>6</v>
      </c>
      <c r="L92" s="79">
        <f>ROUNDUP(' AZUL 2'!L361,0)</f>
        <v>3</v>
      </c>
      <c r="M92" s="79">
        <f>ROUNDUP(' AZUL 2'!M361,0)</f>
        <v>3</v>
      </c>
      <c r="N92" s="79">
        <f>ROUNDUP(' AZUL 2'!N361,0)</f>
        <v>6</v>
      </c>
    </row>
    <row r="93" spans="1:14" ht="15.75" customHeight="1">
      <c r="A93" s="78" t="s">
        <v>183</v>
      </c>
      <c r="B93" s="79">
        <f>ROUNDUP(' AZUL 2'!B362,0)</f>
        <v>4</v>
      </c>
      <c r="C93" s="79">
        <f>ROUNDUP(' AZUL 2'!C362,0)</f>
        <v>29</v>
      </c>
      <c r="D93" s="79">
        <f>ROUNDUP(' AZUL 2'!D362,0)</f>
        <v>43</v>
      </c>
      <c r="E93" s="79">
        <f>ROUNDUP(' AZUL 2'!E362,0)</f>
        <v>7</v>
      </c>
      <c r="F93" s="79">
        <f>ROUNDUP(' AZUL 2'!F362,0)</f>
        <v>5</v>
      </c>
      <c r="G93" s="79">
        <v>0</v>
      </c>
      <c r="H93" s="79">
        <v>8</v>
      </c>
      <c r="I93" s="79">
        <v>2</v>
      </c>
      <c r="J93" s="79">
        <v>3</v>
      </c>
      <c r="K93" s="79">
        <v>7</v>
      </c>
      <c r="L93" s="79">
        <v>4</v>
      </c>
      <c r="M93" s="79">
        <v>3</v>
      </c>
      <c r="N93" s="79">
        <f>ROUNDUP(' AZUL 2'!N362,0)</f>
        <v>6</v>
      </c>
    </row>
    <row r="94" spans="1:14" ht="15.75" customHeight="1">
      <c r="A94" s="78" t="s">
        <v>184</v>
      </c>
      <c r="B94" s="79">
        <f>ROUNDUP(' AZUL 2'!B363,0)</f>
        <v>4</v>
      </c>
      <c r="C94" s="79">
        <f>ROUNDUP(' AZUL 2'!C363,0)</f>
        <v>29</v>
      </c>
      <c r="D94" s="79">
        <f>ROUNDUP(' AZUL 2'!D363,0)</f>
        <v>43</v>
      </c>
      <c r="E94" s="79">
        <f>ROUNDUP(' AZUL 2'!E363,0)</f>
        <v>7</v>
      </c>
      <c r="F94" s="79">
        <f>ROUNDUP(' AZUL 2'!F363,0)</f>
        <v>5</v>
      </c>
      <c r="G94" s="79">
        <v>0</v>
      </c>
      <c r="H94" s="79">
        <f>ROUNDUP(' AZUL 2'!H363,0)</f>
        <v>7</v>
      </c>
      <c r="I94" s="79">
        <f>ROUNDUP(' AZUL 2'!I363,0)</f>
        <v>3</v>
      </c>
      <c r="J94" s="79">
        <f>ROUNDUP(' AZUL 2'!J363,0)</f>
        <v>3</v>
      </c>
      <c r="K94" s="79">
        <f>ROUNDUP(' AZUL 2'!K363,0)</f>
        <v>6</v>
      </c>
      <c r="L94" s="79">
        <f>ROUNDUP(' AZUL 2'!L363,0)</f>
        <v>3</v>
      </c>
      <c r="M94" s="79">
        <f>ROUNDUP(' AZUL 2'!M363,0)</f>
        <v>3</v>
      </c>
      <c r="N94" s="79">
        <f>ROUNDUP(' AZUL 2'!N363,0)</f>
        <v>6</v>
      </c>
    </row>
    <row r="95" spans="1:14" ht="15.75" customHeight="1">
      <c r="A95" s="81" t="s">
        <v>185</v>
      </c>
      <c r="B95" s="79">
        <f>ROUNDUP(' AZUL 2'!B364,0)</f>
        <v>4</v>
      </c>
      <c r="C95" s="79">
        <f>ROUNDUP(' AZUL 2'!C364,0)</f>
        <v>29</v>
      </c>
      <c r="D95" s="79">
        <f>ROUNDUP(' AZUL 2'!D364,0)</f>
        <v>43</v>
      </c>
      <c r="E95" s="79">
        <f>ROUNDUP(' AZUL 2'!E364,0)</f>
        <v>7</v>
      </c>
      <c r="F95" s="79">
        <f>ROUNDUP(' AZUL 2'!F364,0)</f>
        <v>5</v>
      </c>
      <c r="G95" s="79">
        <v>0</v>
      </c>
      <c r="H95" s="79">
        <v>8</v>
      </c>
      <c r="I95" s="79">
        <v>2</v>
      </c>
      <c r="J95" s="79">
        <v>3</v>
      </c>
      <c r="K95" s="79">
        <v>7</v>
      </c>
      <c r="L95" s="79">
        <v>4</v>
      </c>
      <c r="M95" s="79">
        <v>3</v>
      </c>
      <c r="N95" s="79">
        <f>ROUNDUP(' AZUL 2'!N364,0)</f>
        <v>6</v>
      </c>
    </row>
    <row r="96" spans="1:14" ht="15.75" customHeight="1">
      <c r="A96" s="81" t="s">
        <v>186</v>
      </c>
      <c r="B96" s="79">
        <f>ROUNDUP(' AZUL 2'!B365,0)</f>
        <v>4</v>
      </c>
      <c r="C96" s="79">
        <f>ROUNDUP(' AZUL 2'!C365,0)</f>
        <v>29</v>
      </c>
      <c r="D96" s="79">
        <f>ROUNDUP(' AZUL 2'!D365,0)</f>
        <v>43</v>
      </c>
      <c r="E96" s="79">
        <f>ROUNDUP(' AZUL 2'!E365,0)</f>
        <v>7</v>
      </c>
      <c r="F96" s="79">
        <f>ROUNDUP(' AZUL 2'!F365,0)</f>
        <v>5</v>
      </c>
      <c r="G96" s="79">
        <v>0</v>
      </c>
      <c r="H96" s="79">
        <f>ROUNDUP(' AZUL 2'!H365,0)</f>
        <v>7</v>
      </c>
      <c r="I96" s="79">
        <f>ROUNDUP(' AZUL 2'!I365,0)</f>
        <v>3</v>
      </c>
      <c r="J96" s="79">
        <f>ROUNDUP(' AZUL 2'!J365,0)</f>
        <v>3</v>
      </c>
      <c r="K96" s="79">
        <f>ROUNDUP(' AZUL 2'!K365,0)</f>
        <v>6</v>
      </c>
      <c r="L96" s="79">
        <f>ROUNDUP(' AZUL 2'!L365,0)</f>
        <v>3</v>
      </c>
      <c r="M96" s="79">
        <f>ROUNDUP(' AZUL 2'!M365,0)</f>
        <v>3</v>
      </c>
      <c r="N96" s="79">
        <f>ROUNDUP(' AZUL 2'!N365,0)</f>
        <v>6</v>
      </c>
    </row>
    <row r="97" spans="1:17" ht="15.75" customHeight="1">
      <c r="A97" s="81" t="s">
        <v>187</v>
      </c>
      <c r="B97" s="79">
        <f>ROUNDUP(' AZUL 2'!B366,0)</f>
        <v>0</v>
      </c>
      <c r="C97" s="79">
        <f>ROUNDUP(' AZUL 2'!C366,0)</f>
        <v>0</v>
      </c>
      <c r="D97" s="79">
        <f>ROUNDUP(' AZUL 2'!D366,0)</f>
        <v>0</v>
      </c>
      <c r="E97" s="79">
        <f>ROUNDUP(' AZUL 2'!E366,0)</f>
        <v>0</v>
      </c>
      <c r="F97" s="79">
        <f>ROUNDUP(' AZUL 2'!F366,0)</f>
        <v>0</v>
      </c>
      <c r="G97" s="79">
        <v>0</v>
      </c>
      <c r="H97" s="79">
        <f>ROUNDUP(' AZUL 2'!H366,0)</f>
        <v>0</v>
      </c>
      <c r="I97" s="79">
        <f>ROUNDUP(' AZUL 2'!I366,0)</f>
        <v>0</v>
      </c>
      <c r="J97" s="79">
        <f>ROUNDUP(' AZUL 2'!J366,0)</f>
        <v>0</v>
      </c>
      <c r="K97" s="79">
        <f>ROUNDUP(' AZUL 2'!K366,0)</f>
        <v>0</v>
      </c>
      <c r="L97" s="79">
        <f>ROUNDUP(' AZUL 2'!L366,0)</f>
        <v>0</v>
      </c>
      <c r="M97" s="79">
        <f>ROUNDUP(' AZUL 2'!M366,0)</f>
        <v>0</v>
      </c>
      <c r="N97" s="79">
        <f>ROUNDUP(' AZUL 2'!N366,0)</f>
        <v>0</v>
      </c>
    </row>
    <row r="98" spans="1:17" ht="15.75" customHeight="1"/>
    <row r="99" spans="1:17" ht="15.75" customHeight="1">
      <c r="B99" s="26" t="s">
        <v>73</v>
      </c>
      <c r="C99" s="26" t="s">
        <v>74</v>
      </c>
      <c r="D99" s="26" t="s">
        <v>75</v>
      </c>
      <c r="E99" s="26" t="s">
        <v>76</v>
      </c>
      <c r="F99" s="26" t="s">
        <v>77</v>
      </c>
      <c r="G99" s="26" t="s">
        <v>78</v>
      </c>
      <c r="H99" s="26" t="s">
        <v>79</v>
      </c>
      <c r="I99" s="26" t="s">
        <v>80</v>
      </c>
      <c r="J99" s="26" t="s">
        <v>81</v>
      </c>
      <c r="K99" s="26" t="s">
        <v>82</v>
      </c>
      <c r="L99" s="26" t="s">
        <v>83</v>
      </c>
      <c r="M99" s="26" t="s">
        <v>84</v>
      </c>
      <c r="N99" s="27" t="s">
        <v>85</v>
      </c>
      <c r="O99" s="26" t="s">
        <v>86</v>
      </c>
      <c r="P99" s="26" t="s">
        <v>87</v>
      </c>
      <c r="Q99" s="26" t="s">
        <v>88</v>
      </c>
    </row>
    <row r="100" spans="1:17" ht="15.75" customHeight="1">
      <c r="B100" s="19">
        <v>160</v>
      </c>
      <c r="C100" s="19">
        <v>80</v>
      </c>
      <c r="D100" s="19">
        <v>156</v>
      </c>
      <c r="E100" s="19">
        <v>97</v>
      </c>
      <c r="F100" s="19">
        <v>2</v>
      </c>
      <c r="G100" s="19">
        <v>78</v>
      </c>
      <c r="H100" s="19">
        <v>69</v>
      </c>
      <c r="I100" s="19">
        <v>61</v>
      </c>
      <c r="J100" s="19">
        <v>131</v>
      </c>
      <c r="K100" s="19">
        <v>75</v>
      </c>
      <c r="L100" s="19">
        <v>66</v>
      </c>
      <c r="M100" s="19">
        <v>80</v>
      </c>
      <c r="N100" s="19">
        <v>71</v>
      </c>
      <c r="O100" s="19">
        <v>69</v>
      </c>
      <c r="P100" s="19">
        <v>42</v>
      </c>
      <c r="Q100" s="45">
        <v>70</v>
      </c>
    </row>
    <row r="101" spans="1:17" ht="15.75" customHeight="1">
      <c r="B101" s="19">
        <v>0</v>
      </c>
      <c r="C101" s="19">
        <v>0</v>
      </c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v>40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47">
        <v>0</v>
      </c>
    </row>
    <row r="102" spans="1:17" ht="15.75" customHeight="1">
      <c r="A102" s="78" t="s">
        <v>182</v>
      </c>
      <c r="B102" s="79">
        <f>ROUNDUP(' AZUL 2'!B371,0)</f>
        <v>8</v>
      </c>
      <c r="C102" s="79">
        <v>0</v>
      </c>
      <c r="D102" s="79">
        <v>0</v>
      </c>
      <c r="E102" s="79">
        <f>ROUNDUP(' AZUL 2'!E371,0)</f>
        <v>5</v>
      </c>
      <c r="F102" s="79">
        <f>ROUNDUP(' AZUL 2'!F371,0)</f>
        <v>1</v>
      </c>
      <c r="G102" s="79">
        <f>ROUNDUP(' AZUL 2'!G371,0)</f>
        <v>4</v>
      </c>
      <c r="H102" s="79">
        <f>ROUNDUP(' AZUL 2'!H371,0)</f>
        <v>4</v>
      </c>
      <c r="I102" s="79">
        <f>ROUNDUP(' AZUL 2'!I371,0)</f>
        <v>4</v>
      </c>
      <c r="J102" s="79">
        <f>ROUNDUP(' AZUL 2'!J371,0)</f>
        <v>7</v>
      </c>
      <c r="K102" s="79">
        <f>ROUNDUP(' AZUL 2'!K371,0)</f>
        <v>4</v>
      </c>
      <c r="L102" s="79">
        <f>ROUNDUP(' AZUL 2'!L371,0)</f>
        <v>4</v>
      </c>
      <c r="M102" s="79">
        <f>ROUNDUP(' AZUL 2'!M371,0)</f>
        <v>4</v>
      </c>
      <c r="N102" s="79">
        <f>ROUNDUP(' AZUL 2'!N371,0)</f>
        <v>4</v>
      </c>
      <c r="O102" s="79">
        <f>ROUNDUP(' AZUL 2'!O371,0)</f>
        <v>4</v>
      </c>
      <c r="P102" s="79">
        <f>ROUNDUP(' AZUL 2'!P371,0)</f>
        <v>3</v>
      </c>
      <c r="Q102" s="79">
        <f>ROUNDUP(' AZUL 2'!Q371,0)</f>
        <v>4</v>
      </c>
    </row>
    <row r="103" spans="1:17" ht="15.75" customHeight="1">
      <c r="A103" s="78" t="s">
        <v>183</v>
      </c>
      <c r="B103" s="79">
        <f>ROUNDUP(' AZUL 2'!B372,0)</f>
        <v>8</v>
      </c>
      <c r="C103" s="79">
        <v>0</v>
      </c>
      <c r="D103" s="79">
        <v>0</v>
      </c>
      <c r="E103" s="79">
        <f>ROUNDUP(' AZUL 2'!E372,0)</f>
        <v>5</v>
      </c>
      <c r="F103" s="79">
        <v>0</v>
      </c>
      <c r="G103" s="79">
        <f>ROUNDUP(' AZUL 2'!G372,0)</f>
        <v>4</v>
      </c>
      <c r="H103" s="79">
        <v>3</v>
      </c>
      <c r="I103" s="79">
        <v>3</v>
      </c>
      <c r="J103" s="79">
        <v>8</v>
      </c>
      <c r="K103" s="79">
        <f>ROUNDUP(' AZUL 2'!K372,0)</f>
        <v>4</v>
      </c>
      <c r="L103" s="79">
        <v>3</v>
      </c>
      <c r="M103" s="79">
        <f>ROUNDUP(' AZUL 2'!M372,0)</f>
        <v>4</v>
      </c>
      <c r="N103" s="79">
        <f>ROUNDUP(' AZUL 2'!N372,0)</f>
        <v>4</v>
      </c>
      <c r="O103" s="79">
        <v>2</v>
      </c>
      <c r="P103" s="79">
        <v>2</v>
      </c>
      <c r="Q103" s="79">
        <v>3</v>
      </c>
    </row>
    <row r="104" spans="1:17" ht="15.75" customHeight="1">
      <c r="A104" s="78" t="s">
        <v>184</v>
      </c>
      <c r="B104" s="79">
        <f>ROUNDUP(' AZUL 2'!B373,0)</f>
        <v>8</v>
      </c>
      <c r="C104" s="79">
        <v>0</v>
      </c>
      <c r="D104" s="79">
        <v>0</v>
      </c>
      <c r="E104" s="79">
        <f>ROUNDUP(' AZUL 2'!E373,0)</f>
        <v>5</v>
      </c>
      <c r="F104" s="79">
        <f>ROUNDUP(' AZUL 2'!F373,0)</f>
        <v>1</v>
      </c>
      <c r="G104" s="79">
        <f>ROUNDUP(' AZUL 2'!G373,0)</f>
        <v>4</v>
      </c>
      <c r="H104" s="79">
        <f>ROUNDUP(' AZUL 2'!H373,0)</f>
        <v>4</v>
      </c>
      <c r="I104" s="79">
        <f>ROUNDUP(' AZUL 2'!I373,0)</f>
        <v>4</v>
      </c>
      <c r="J104" s="79">
        <f>ROUNDUP(' AZUL 2'!J373,0)</f>
        <v>7</v>
      </c>
      <c r="K104" s="79">
        <f>ROUNDUP(' AZUL 2'!K373,0)</f>
        <v>4</v>
      </c>
      <c r="L104" s="79">
        <f>ROUNDUP(' AZUL 2'!L373,0)</f>
        <v>4</v>
      </c>
      <c r="M104" s="79">
        <f>ROUNDUP(' AZUL 2'!M373,0)</f>
        <v>4</v>
      </c>
      <c r="N104" s="79">
        <f>ROUNDUP(' AZUL 2'!N373,0)</f>
        <v>4</v>
      </c>
      <c r="O104" s="79">
        <f>ROUNDUP(' AZUL 2'!O373,0)</f>
        <v>4</v>
      </c>
      <c r="P104" s="79">
        <f>ROUNDUP(' AZUL 2'!P373,0)</f>
        <v>3</v>
      </c>
      <c r="Q104" s="79">
        <f>ROUNDUP(' AZUL 2'!Q373,0)</f>
        <v>4</v>
      </c>
    </row>
    <row r="105" spans="1:17" ht="15.75" customHeight="1">
      <c r="A105" s="81" t="s">
        <v>185</v>
      </c>
      <c r="B105" s="79">
        <f>ROUNDUP(' AZUL 2'!B374,0)</f>
        <v>8</v>
      </c>
      <c r="C105" s="79">
        <v>0</v>
      </c>
      <c r="D105" s="79">
        <v>0</v>
      </c>
      <c r="E105" s="79">
        <f>ROUNDUP(' AZUL 2'!E374,0)</f>
        <v>5</v>
      </c>
      <c r="F105" s="79">
        <v>0</v>
      </c>
      <c r="G105" s="79">
        <f>ROUNDUP(' AZUL 2'!G374,0)</f>
        <v>4</v>
      </c>
      <c r="H105" s="79">
        <v>3</v>
      </c>
      <c r="I105" s="79">
        <v>3</v>
      </c>
      <c r="J105" s="79">
        <v>8</v>
      </c>
      <c r="K105" s="79">
        <f>ROUNDUP(' AZUL 2'!K374,0)</f>
        <v>4</v>
      </c>
      <c r="L105" s="79">
        <v>3</v>
      </c>
      <c r="M105" s="79">
        <f>ROUNDUP(' AZUL 2'!M374,0)</f>
        <v>4</v>
      </c>
      <c r="N105" s="79">
        <f>ROUNDUP(' AZUL 2'!N374,0)</f>
        <v>4</v>
      </c>
      <c r="O105" s="79">
        <v>2</v>
      </c>
      <c r="P105" s="79">
        <v>2</v>
      </c>
      <c r="Q105" s="79">
        <v>3</v>
      </c>
    </row>
    <row r="106" spans="1:17" ht="15.75" customHeight="1">
      <c r="A106" s="81" t="s">
        <v>186</v>
      </c>
      <c r="B106" s="79">
        <f>ROUNDUP(' AZUL 2'!B375,0)</f>
        <v>8</v>
      </c>
      <c r="C106" s="79">
        <v>0</v>
      </c>
      <c r="D106" s="79">
        <v>0</v>
      </c>
      <c r="E106" s="79">
        <f>ROUNDUP(' AZUL 2'!E375,0)</f>
        <v>5</v>
      </c>
      <c r="F106" s="79">
        <f>ROUNDUP(' AZUL 2'!F375,0)</f>
        <v>1</v>
      </c>
      <c r="G106" s="79">
        <f>ROUNDUP(' AZUL 2'!G375,0)</f>
        <v>4</v>
      </c>
      <c r="H106" s="79">
        <f>ROUNDUP(' AZUL 2'!H375,0)</f>
        <v>4</v>
      </c>
      <c r="I106" s="79">
        <f>ROUNDUP(' AZUL 2'!I375,0)</f>
        <v>4</v>
      </c>
      <c r="J106" s="79">
        <f>ROUNDUP(' AZUL 2'!J375,0)</f>
        <v>7</v>
      </c>
      <c r="K106" s="79">
        <f>ROUNDUP(' AZUL 2'!K375,0)</f>
        <v>4</v>
      </c>
      <c r="L106" s="79">
        <f>ROUNDUP(' AZUL 2'!L375,0)</f>
        <v>4</v>
      </c>
      <c r="M106" s="79">
        <f>ROUNDUP(' AZUL 2'!M375,0)</f>
        <v>4</v>
      </c>
      <c r="N106" s="79">
        <f>ROUNDUP(' AZUL 2'!N375,0)</f>
        <v>4</v>
      </c>
      <c r="O106" s="79">
        <f>ROUNDUP(' AZUL 2'!O375,0)</f>
        <v>4</v>
      </c>
      <c r="P106" s="79">
        <f>ROUNDUP(' AZUL 2'!P375,0)</f>
        <v>3</v>
      </c>
      <c r="Q106" s="79">
        <f>ROUNDUP(' AZUL 2'!Q375,0)</f>
        <v>4</v>
      </c>
    </row>
    <row r="107" spans="1:17" ht="15.75" customHeight="1">
      <c r="A107" s="81" t="s">
        <v>187</v>
      </c>
      <c r="B107" s="79">
        <f>ROUNDUP(' AZUL 2'!B376,0)</f>
        <v>0</v>
      </c>
      <c r="C107" s="79">
        <f>ROUNDUP(' AZUL 2'!C376,0)</f>
        <v>0</v>
      </c>
      <c r="D107" s="79">
        <f>ROUNDUP(' AZUL 2'!D376,0)</f>
        <v>0</v>
      </c>
      <c r="E107" s="79">
        <f>ROUNDUP(' AZUL 2'!E376,0)</f>
        <v>0</v>
      </c>
      <c r="F107" s="79">
        <f>ROUNDUP(' AZUL 2'!F376,0)</f>
        <v>0</v>
      </c>
      <c r="G107" s="79">
        <f>ROUNDUP(' AZUL 2'!G376,0)</f>
        <v>0</v>
      </c>
      <c r="H107" s="79">
        <f>ROUNDUP(' AZUL 2'!H376,0)</f>
        <v>0</v>
      </c>
      <c r="I107" s="79">
        <f>ROUNDUP(' AZUL 2'!I376,0)</f>
        <v>0</v>
      </c>
      <c r="J107" s="79">
        <f>ROUNDUP(' AZUL 2'!J376,0)</f>
        <v>0</v>
      </c>
      <c r="K107" s="79">
        <f>ROUNDUP(' AZUL 2'!K376,0)</f>
        <v>0</v>
      </c>
      <c r="L107" s="79">
        <f>ROUNDUP(' AZUL 2'!L376,0)</f>
        <v>0</v>
      </c>
      <c r="M107" s="79">
        <f>ROUNDUP(' AZUL 2'!M376,0)</f>
        <v>0</v>
      </c>
      <c r="N107" s="79">
        <f>ROUNDUP(' AZUL 2'!N376,0)</f>
        <v>0</v>
      </c>
      <c r="O107" s="79">
        <f>ROUNDUP(' AZUL 2'!O376,0)</f>
        <v>0</v>
      </c>
      <c r="P107" s="79">
        <f>ROUNDUP(' AZUL 2'!P376,0)</f>
        <v>0</v>
      </c>
      <c r="Q107" s="79">
        <f>ROUNDUP(' AZUL 2'!Q376,0)</f>
        <v>0</v>
      </c>
    </row>
    <row r="108" spans="1:17" ht="15.75" customHeight="1"/>
    <row r="109" spans="1:17" ht="15.75" customHeight="1"/>
    <row r="110" spans="1:17" ht="15.75" customHeight="1"/>
    <row r="111" spans="1:17" ht="15.75" customHeight="1"/>
    <row r="112" spans="1:1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7:E7"/>
    <mergeCell ref="A8:E8"/>
  </mergeCells>
  <pageMargins left="0.7" right="0.7" top="0.75" bottom="0.75" header="0" footer="0"/>
  <pageSetup paperSize="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7:AD1006"/>
  <sheetViews>
    <sheetView topLeftCell="A67" workbookViewId="0">
      <selection activeCell="B82" sqref="B82:O83"/>
    </sheetView>
  </sheetViews>
  <sheetFormatPr baseColWidth="10" defaultColWidth="14.42578125" defaultRowHeight="15" customHeight="1"/>
  <cols>
    <col min="1" max="1" width="52.28515625" customWidth="1"/>
    <col min="2" max="2" width="9.140625" customWidth="1"/>
    <col min="3" max="3" width="9.28515625" customWidth="1"/>
    <col min="4" max="4" width="12.140625" customWidth="1"/>
    <col min="5" max="6" width="8.85546875" customWidth="1"/>
    <col min="7" max="7" width="8.140625" customWidth="1"/>
    <col min="8" max="8" width="8.5703125" customWidth="1"/>
    <col min="9" max="9" width="8.28515625" customWidth="1"/>
    <col min="10" max="10" width="8.140625" customWidth="1"/>
    <col min="11" max="11" width="7.7109375" customWidth="1"/>
    <col min="12" max="12" width="7.85546875" customWidth="1"/>
    <col min="13" max="13" width="9.28515625" customWidth="1"/>
    <col min="14" max="14" width="8.85546875" customWidth="1"/>
    <col min="15" max="15" width="8.7109375" customWidth="1"/>
  </cols>
  <sheetData>
    <row r="7" spans="1:30" ht="15" customHeight="1">
      <c r="A7" s="2" t="s">
        <v>261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30" ht="15" customHeight="1">
      <c r="A8" s="167" t="s">
        <v>1</v>
      </c>
      <c r="B8" s="168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30" ht="15" customHeight="1">
      <c r="A9" s="6"/>
      <c r="B9" s="2" t="s">
        <v>2</v>
      </c>
      <c r="C9" s="2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30" ht="15" customHeight="1">
      <c r="A10" s="6"/>
      <c r="B10" s="6"/>
      <c r="C10" s="2"/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30" ht="15" customHeight="1">
      <c r="A11" s="2" t="s">
        <v>3</v>
      </c>
      <c r="B11" s="2"/>
      <c r="C11" s="2"/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30" ht="15" customHeight="1">
      <c r="A12" s="2" t="s">
        <v>262</v>
      </c>
      <c r="B12" s="2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30" ht="15" customHeight="1">
      <c r="A13" s="3"/>
      <c r="B13" s="61" t="s">
        <v>263</v>
      </c>
      <c r="C13" s="61" t="s">
        <v>264</v>
      </c>
      <c r="D13" s="61" t="s">
        <v>265</v>
      </c>
      <c r="E13" s="61" t="s">
        <v>266</v>
      </c>
      <c r="F13" s="61" t="s">
        <v>267</v>
      </c>
      <c r="G13" s="61" t="s">
        <v>268</v>
      </c>
      <c r="H13" s="61" t="s">
        <v>269</v>
      </c>
      <c r="I13" s="61" t="s">
        <v>270</v>
      </c>
      <c r="J13" s="61" t="s">
        <v>271</v>
      </c>
      <c r="K13" s="61" t="s">
        <v>272</v>
      </c>
      <c r="L13" s="61" t="s">
        <v>273</v>
      </c>
      <c r="M13" s="61" t="s">
        <v>274</v>
      </c>
      <c r="N13" s="61" t="s">
        <v>275</v>
      </c>
      <c r="O13" s="61" t="s">
        <v>276</v>
      </c>
      <c r="P13" s="61" t="s">
        <v>33</v>
      </c>
    </row>
    <row r="14" spans="1:30" ht="15" customHeight="1">
      <c r="A14" s="122" t="s">
        <v>277</v>
      </c>
      <c r="B14" s="123">
        <v>111</v>
      </c>
      <c r="C14" s="123">
        <v>6</v>
      </c>
      <c r="D14" s="123">
        <v>5</v>
      </c>
      <c r="E14" s="123">
        <v>35</v>
      </c>
      <c r="F14" s="123">
        <v>123</v>
      </c>
      <c r="G14" s="123">
        <v>3</v>
      </c>
      <c r="H14" s="123">
        <v>3</v>
      </c>
      <c r="I14" s="123">
        <v>5</v>
      </c>
      <c r="J14" s="123">
        <v>4</v>
      </c>
      <c r="K14" s="123">
        <v>4</v>
      </c>
      <c r="L14" s="123">
        <v>12</v>
      </c>
      <c r="M14" s="123">
        <v>130</v>
      </c>
      <c r="N14" s="123">
        <v>24</v>
      </c>
      <c r="O14" s="123">
        <v>171</v>
      </c>
      <c r="P14" s="79">
        <f t="shared" ref="P14:P15" si="0">SUM(B14:O14)</f>
        <v>636</v>
      </c>
      <c r="X14" s="3"/>
      <c r="Y14" s="3"/>
      <c r="Z14" s="3"/>
      <c r="AA14" s="3"/>
      <c r="AB14" s="3"/>
      <c r="AC14" s="3"/>
      <c r="AD14" s="3"/>
    </row>
    <row r="15" spans="1:30" ht="15" customHeight="1">
      <c r="A15" s="122" t="s">
        <v>278</v>
      </c>
      <c r="B15" s="123">
        <v>0</v>
      </c>
      <c r="C15" s="123">
        <v>0</v>
      </c>
      <c r="D15" s="123">
        <v>0</v>
      </c>
      <c r="E15" s="123">
        <v>0</v>
      </c>
      <c r="F15" s="123">
        <v>0</v>
      </c>
      <c r="G15" s="123">
        <v>0</v>
      </c>
      <c r="H15" s="123">
        <v>0</v>
      </c>
      <c r="I15" s="123">
        <v>2</v>
      </c>
      <c r="J15" s="123">
        <v>0</v>
      </c>
      <c r="K15" s="123">
        <v>0</v>
      </c>
      <c r="L15" s="123">
        <v>6</v>
      </c>
      <c r="M15" s="123">
        <v>130</v>
      </c>
      <c r="N15" s="123">
        <v>12</v>
      </c>
      <c r="O15" s="123">
        <v>0</v>
      </c>
      <c r="P15" s="79">
        <f t="shared" si="0"/>
        <v>150</v>
      </c>
      <c r="Q15" s="1" t="s">
        <v>18</v>
      </c>
      <c r="R15" s="1" t="s">
        <v>279</v>
      </c>
      <c r="X15" s="3"/>
      <c r="Y15" s="3"/>
      <c r="Z15" s="3"/>
      <c r="AA15" s="3"/>
      <c r="AB15" s="3"/>
      <c r="AC15" s="3"/>
      <c r="AD15" s="3"/>
    </row>
    <row r="16" spans="1:30" ht="15" customHeight="1">
      <c r="A16" s="61" t="s">
        <v>20</v>
      </c>
      <c r="B16" s="124">
        <f>PRODUCT(SEMANAL!D6,B14)/1000+PRODUCT(SEMANAL!B6,B15)/1000</f>
        <v>13.875</v>
      </c>
      <c r="C16" s="124">
        <f>PRODUCT(SEMANAL!D6,C$14)/1000+PRODUCT(SEMANAL!B6,C$15)/1000</f>
        <v>0.75</v>
      </c>
      <c r="D16" s="124">
        <f>PRODUCT(SEMANAL!D6,D$14)/1000+PRODUCT(SEMANAL!B6,D$15)/1000</f>
        <v>0.625</v>
      </c>
      <c r="E16" s="124">
        <f>PRODUCT(SEMANAL!D6,E$14)/1000+PRODUCT(SEMANAL!B6,E$15)/1000</f>
        <v>4.375</v>
      </c>
      <c r="F16" s="124">
        <f>PRODUCT(SEMANAL!D6,F$14)/1000+PRODUCT(SEMANAL!B6,F$15)/1000</f>
        <v>15.375</v>
      </c>
      <c r="G16" s="124">
        <f>PRODUCT(SEMANAL!D6,G$14)/1000+PRODUCT(SEMANAL!B6,G$15)/1000</f>
        <v>0.375</v>
      </c>
      <c r="H16" s="124">
        <f>PRODUCT(SEMANAL!D6,H$14)/1000+PRODUCT(SEMANAL!B6,H$15)/1000</f>
        <v>0.375</v>
      </c>
      <c r="I16" s="124">
        <f>PRODUCT(SEMANAL!D6,I$14)/1000+PRODUCT(SEMANAL!B6,I$15)/1000</f>
        <v>0.86499999999999999</v>
      </c>
      <c r="J16" s="124">
        <f>PRODUCT(SEMANAL!D6,J$14)/1000+PRODUCT(SEMANAL!B6,J$15)/1000</f>
        <v>0.5</v>
      </c>
      <c r="K16" s="124">
        <f>PRODUCT(SEMANAL!D6,K$14)/1000+PRODUCT(SEMANAL!B6,K$15)/1000</f>
        <v>0.5</v>
      </c>
      <c r="L16" s="124">
        <f>PRODUCT(SEMANAL!D6,L$14)/1000+PRODUCT(SEMANAL!B6,L$15)/1000</f>
        <v>2.2199999999999998</v>
      </c>
      <c r="M16" s="124">
        <f>PRODUCT(SEMANAL!D6,M$14)/1000+PRODUCT(SEMANAL!B6,M$15)/1000</f>
        <v>31.85</v>
      </c>
      <c r="N16" s="124">
        <f>PRODUCT(SEMANAL!D6,N$14)/1000+PRODUCT(SEMANAL!B6,N$15)/1000</f>
        <v>4.4399999999999995</v>
      </c>
      <c r="O16" s="124">
        <f>PRODUCT(SEMANAL!D6,O$14)/1000+PRODUCT(SEMANAL!B6,O$15)/1000</f>
        <v>21.375</v>
      </c>
      <c r="P16" s="70">
        <f>SUM('OC CACHARI 2'!B16:O16)</f>
        <v>72</v>
      </c>
      <c r="Q16" s="1">
        <v>2950</v>
      </c>
      <c r="R16" s="1">
        <f t="shared" ref="R16:R28" si="1">PRODUCT(P16:Q16)</f>
        <v>212400</v>
      </c>
      <c r="X16" s="3"/>
      <c r="Y16" s="3"/>
      <c r="Z16" s="3"/>
      <c r="AA16" s="3"/>
      <c r="AB16" s="3"/>
      <c r="AC16" s="3"/>
      <c r="AD16" s="3"/>
    </row>
    <row r="17" spans="1:30" ht="15" customHeight="1">
      <c r="A17" s="61" t="s">
        <v>21</v>
      </c>
      <c r="B17" s="124">
        <f>PRODUCT(SEMANAL!D7,B14)/1000+PRODUCT(SEMANAL!B7,B15)/1000</f>
        <v>0</v>
      </c>
      <c r="C17" s="124">
        <f>PRODUCT(SEMANAL!D7,C$14)/1000+PRODUCT(SEMANAL!B7,C$15)/1000</f>
        <v>0</v>
      </c>
      <c r="D17" s="124">
        <f>PRODUCT(SEMANAL!D7,D$14)/1000+PRODUCT(SEMANAL!B7,D$15)/1000</f>
        <v>0</v>
      </c>
      <c r="E17" s="124">
        <f>PRODUCT(SEMANAL!D7,E$14)/1000+PRODUCT(SEMANAL!B7,E$15)/1000</f>
        <v>0</v>
      </c>
      <c r="F17" s="124">
        <f>PRODUCT(SEMANAL!D7,F$14)/1000+PRODUCT(SEMANAL!B7,F$15)/1000</f>
        <v>0</v>
      </c>
      <c r="G17" s="124">
        <f>PRODUCT(SEMANAL!D7,G$14)/1000+PRODUCT(SEMANAL!B7,G$15)/1000</f>
        <v>0</v>
      </c>
      <c r="H17" s="124">
        <f>PRODUCT(SEMANAL!D7,H$14)/1000+PRODUCT(SEMANAL!B7,H$15)/1000</f>
        <v>0</v>
      </c>
      <c r="I17" s="124">
        <f>PRODUCT(SEMANAL!D7,I$14)/1000+PRODUCT(SEMANAL!B7,I$15)/1000</f>
        <v>0.24</v>
      </c>
      <c r="J17" s="124">
        <f>PRODUCT(SEMANAL!D7,J$14)/1000+PRODUCT(SEMANAL!B7,J$15)/1000</f>
        <v>0</v>
      </c>
      <c r="K17" s="124">
        <f>PRODUCT(SEMANAL!D7,K$14)/1000+PRODUCT(SEMANAL!B7,K$15)/1000</f>
        <v>0</v>
      </c>
      <c r="L17" s="124">
        <f>PRODUCT(SEMANAL!D7,L$14)/1000+PRODUCT(SEMANAL!B7,L$15)/1000</f>
        <v>0.72</v>
      </c>
      <c r="M17" s="124">
        <f>PRODUCT(SEMANAL!D7,M$14)/1000+PRODUCT(SEMANAL!B7,M$15)/1000</f>
        <v>15.6</v>
      </c>
      <c r="N17" s="124">
        <f>PRODUCT(SEMANAL!D7,N$14)/1000+PRODUCT(SEMANAL!B7,N$15)/1000</f>
        <v>1.44</v>
      </c>
      <c r="O17" s="124">
        <f>PRODUCT(SEMANAL!D7,O$14)/1000+PRODUCT(SEMANAL!B7,O$15)/1000</f>
        <v>0</v>
      </c>
      <c r="P17" s="70">
        <f>SUM('OC CACHARI 2'!B17:O17)</f>
        <v>20</v>
      </c>
      <c r="Q17" s="1">
        <v>3490</v>
      </c>
      <c r="R17" s="1">
        <f t="shared" si="1"/>
        <v>69800</v>
      </c>
      <c r="X17" s="3"/>
      <c r="Y17" s="3"/>
      <c r="Z17" s="3"/>
      <c r="AA17" s="3"/>
      <c r="AB17" s="3"/>
      <c r="AC17" s="3"/>
      <c r="AD17" s="3"/>
    </row>
    <row r="18" spans="1:30" ht="15" customHeight="1">
      <c r="A18" s="61" t="s">
        <v>22</v>
      </c>
      <c r="B18" s="124">
        <f>PRODUCT(SEMANAL!D8,B$14)/1000+PRODUCT(SEMANAL!B8,B$15)/1000</f>
        <v>27.75</v>
      </c>
      <c r="C18" s="124">
        <f>PRODUCT(SEMANAL!D8,C$14)/1000+PRODUCT(SEMANAL!B8,C$15)/1000</f>
        <v>1.5</v>
      </c>
      <c r="D18" s="124">
        <f>PRODUCT(SEMANAL!D8,D$14)/1000+PRODUCT(SEMANAL!B8,D$15)/1000</f>
        <v>1.25</v>
      </c>
      <c r="E18" s="124">
        <f>PRODUCT(SEMANAL!D8,E$14)/1000+PRODUCT(SEMANAL!B8,E$15)/1000</f>
        <v>8.75</v>
      </c>
      <c r="F18" s="124">
        <f>PRODUCT(SEMANAL!D8,F$14)/1000+PRODUCT(SEMANAL!B8,F$15)/1000</f>
        <v>30.75</v>
      </c>
      <c r="G18" s="124">
        <f>PRODUCT(SEMANAL!D8,G$14)/1000+PRODUCT(SEMANAL!B8,G$15)/1000</f>
        <v>0.75</v>
      </c>
      <c r="H18" s="124">
        <f>PRODUCT(SEMANAL!D8,H$14)/1000+PRODUCT(SEMANAL!B8,H$15)/1000</f>
        <v>0.75</v>
      </c>
      <c r="I18" s="124">
        <f>PRODUCT(SEMANAL!D8,I$14)/1000+PRODUCT(SEMANAL!B8,I$15)/1000</f>
        <v>1.73</v>
      </c>
      <c r="J18" s="124">
        <f>PRODUCT(SEMANAL!D8,J$14)/1000+PRODUCT(SEMANAL!B8,J$15)/1000</f>
        <v>1</v>
      </c>
      <c r="K18" s="124">
        <f>PRODUCT(SEMANAL!D8,K$14)/1000+PRODUCT(SEMANAL!B8,K$15)/1000</f>
        <v>1</v>
      </c>
      <c r="L18" s="124">
        <f>PRODUCT(SEMANAL!D8,L$14)/1000+PRODUCT(SEMANAL!B8,L$15)/1000</f>
        <v>4.4399999999999995</v>
      </c>
      <c r="M18" s="124">
        <f>PRODUCT(SEMANAL!D8,M$14)/1000+PRODUCT(SEMANAL!B8,M$15)/1000</f>
        <v>63.7</v>
      </c>
      <c r="N18" s="124">
        <f>PRODUCT(SEMANAL!D8,N$14)/1000+PRODUCT(SEMANAL!B8,N$15)/1000</f>
        <v>8.879999999999999</v>
      </c>
      <c r="O18" s="124">
        <f>PRODUCT(SEMANAL!D8,O$14)/1000+PRODUCT(SEMANAL!B8,O$15)/1000</f>
        <v>42.75</v>
      </c>
      <c r="P18" s="70">
        <f>SUM('OC CACHARI 2'!B18:O18)</f>
        <v>135</v>
      </c>
      <c r="Q18" s="1">
        <v>1990</v>
      </c>
      <c r="R18" s="1">
        <f t="shared" si="1"/>
        <v>268650</v>
      </c>
      <c r="X18" s="3"/>
      <c r="Y18" s="3"/>
      <c r="Z18" s="3"/>
      <c r="AA18" s="3"/>
      <c r="AB18" s="3"/>
      <c r="AC18" s="3"/>
      <c r="AD18" s="3"/>
    </row>
    <row r="19" spans="1:30" ht="15" customHeight="1">
      <c r="A19" s="61" t="s">
        <v>23</v>
      </c>
      <c r="B19" s="124">
        <f>PRODUCT(SEMANAL!D9,B$14)/1000+PRODUCT(SEMANAL!B9,B$15)/1000</f>
        <v>0</v>
      </c>
      <c r="C19" s="124">
        <f>PRODUCT(SEMANAL!D9,C$14)/1000+PRODUCT(SEMANAL!B9,C$15)/1000</f>
        <v>0</v>
      </c>
      <c r="D19" s="124">
        <f>PRODUCT(SEMANAL!D9,D$14)/1000+PRODUCT(SEMANAL!B9,D$15)/1000</f>
        <v>0</v>
      </c>
      <c r="E19" s="124">
        <f>PRODUCT(SEMANAL!D9,E$14)/1000+PRODUCT(SEMANAL!B9,E$15)/1000</f>
        <v>0</v>
      </c>
      <c r="F19" s="124">
        <f>PRODUCT(SEMANAL!D9,F$14)/1000+PRODUCT(SEMANAL!B9,F$15)/1000</f>
        <v>0</v>
      </c>
      <c r="G19" s="124">
        <f>PRODUCT(SEMANAL!D9,G$14)/1000+PRODUCT(SEMANAL!B9,G$15)/1000</f>
        <v>0</v>
      </c>
      <c r="H19" s="124">
        <f>PRODUCT(SEMANAL!D9,H$14)/1000+PRODUCT(SEMANAL!B9,H$15)/1000</f>
        <v>0</v>
      </c>
      <c r="I19" s="124">
        <f>PRODUCT(SEMANAL!D9,I$14)/1000+PRODUCT(SEMANAL!B9,I$15)/1000</f>
        <v>0</v>
      </c>
      <c r="J19" s="124">
        <f>PRODUCT(SEMANAL!D9,J$14)/1000+PRODUCT(SEMANAL!B9,J$15)/1000</f>
        <v>0</v>
      </c>
      <c r="K19" s="124">
        <f>PRODUCT(SEMANAL!D9,K$14)/1000+PRODUCT(SEMANAL!B9,K$15)/1000</f>
        <v>0</v>
      </c>
      <c r="L19" s="124">
        <f>PRODUCT(SEMANAL!D9,L$14)/1000+PRODUCT(SEMANAL!B9,L$15)/1000</f>
        <v>0</v>
      </c>
      <c r="M19" s="124">
        <f>PRODUCT(SEMANAL!D9,M$14)/1000+PRODUCT(SEMANAL!B9,M$15)/1000</f>
        <v>0</v>
      </c>
      <c r="N19" s="124">
        <f>PRODUCT(SEMANAL!D9,N$14)/1000+PRODUCT(SEMANAL!B9,N$15)/1000</f>
        <v>0</v>
      </c>
      <c r="O19" s="124">
        <f>PRODUCT(SEMANAL!D9,O$14)/1000+PRODUCT(SEMANAL!B9,O$15)/1000</f>
        <v>0</v>
      </c>
      <c r="P19" s="70">
        <f>SUM('OC CACHARI 2'!B19:O19)</f>
        <v>0</v>
      </c>
      <c r="Q19" s="1">
        <v>2500</v>
      </c>
      <c r="R19" s="1">
        <f t="shared" si="1"/>
        <v>0</v>
      </c>
      <c r="X19" s="3"/>
      <c r="Y19" s="3"/>
      <c r="Z19" s="3"/>
      <c r="AA19" s="3"/>
      <c r="AB19" s="3"/>
      <c r="AC19" s="3"/>
      <c r="AD19" s="3"/>
    </row>
    <row r="20" spans="1:30" ht="15" customHeight="1">
      <c r="A20" s="61" t="s">
        <v>24</v>
      </c>
      <c r="B20" s="124">
        <f>PRODUCT(SEMANAL!D10,B$14)/1000+PRODUCT(SEMANAL!B10,B$15)/1000</f>
        <v>0</v>
      </c>
      <c r="C20" s="124">
        <f>PRODUCT(SEMANAL!D10,C$14)/1000+PRODUCT(SEMANAL!B10,C$15)/1000</f>
        <v>0</v>
      </c>
      <c r="D20" s="124">
        <f>PRODUCT(SEMANAL!D10,D$14)/1000+PRODUCT(SEMANAL!B10,D$15)/1000</f>
        <v>0</v>
      </c>
      <c r="E20" s="124">
        <f>PRODUCT(SEMANAL!D10,E$14)/1000+PRODUCT(SEMANAL!B10,E$15)/1000</f>
        <v>0</v>
      </c>
      <c r="F20" s="124">
        <f>PRODUCT(SEMANAL!D10,F$14)/1000+PRODUCT(SEMANAL!B10,F$15)/1000</f>
        <v>0</v>
      </c>
      <c r="G20" s="124">
        <f>PRODUCT(SEMANAL!D10,G$14)/1000+PRODUCT(SEMANAL!B10,G$15)/1000</f>
        <v>0</v>
      </c>
      <c r="H20" s="124">
        <f>PRODUCT(SEMANAL!D10,H$14)/1000+PRODUCT(SEMANAL!B10,H$15)/1000</f>
        <v>0</v>
      </c>
      <c r="I20" s="124">
        <f>PRODUCT(SEMANAL!D10,I$14)/1000+PRODUCT(SEMANAL!B10,I$15)/1000</f>
        <v>0.28000000000000003</v>
      </c>
      <c r="J20" s="124">
        <f>PRODUCT(SEMANAL!D10,J$14)/1000+PRODUCT(SEMANAL!B10,J$15)/1000</f>
        <v>0</v>
      </c>
      <c r="K20" s="124">
        <f>PRODUCT(SEMANAL!D10,K$14)/1000+PRODUCT(SEMANAL!B10,K$15)/1000</f>
        <v>0</v>
      </c>
      <c r="L20" s="124">
        <f>PRODUCT(SEMANAL!D10,L$14)/1000+PRODUCT(SEMANAL!B10,L$15)/1000</f>
        <v>0.84</v>
      </c>
      <c r="M20" s="124">
        <f>PRODUCT(SEMANAL!D10,M$14)/1000+PRODUCT(SEMANAL!B10,M$15)/1000</f>
        <v>18.2</v>
      </c>
      <c r="N20" s="124">
        <f>PRODUCT(SEMANAL!D10,N$14)/1000+PRODUCT(SEMANAL!B10,N$15)/1000</f>
        <v>1.68</v>
      </c>
      <c r="O20" s="124">
        <f>PRODUCT(SEMANAL!D10,O$14)/1000+PRODUCT(SEMANAL!B10,O$15)/1000</f>
        <v>0</v>
      </c>
      <c r="P20" s="70">
        <f>SUM('OC CACHARI 2'!B20:O20)</f>
        <v>23</v>
      </c>
      <c r="Q20" s="1">
        <v>1500</v>
      </c>
      <c r="R20" s="1">
        <f t="shared" si="1"/>
        <v>34500</v>
      </c>
      <c r="X20" s="3"/>
      <c r="Y20" s="3"/>
      <c r="Z20" s="3"/>
      <c r="AA20" s="3"/>
      <c r="AB20" s="3"/>
      <c r="AC20" s="3"/>
      <c r="AD20" s="3"/>
    </row>
    <row r="21" spans="1:30" ht="15" customHeight="1">
      <c r="A21" s="61" t="s">
        <v>25</v>
      </c>
      <c r="B21" s="124">
        <f>PRODUCT(SEMANAL!D11,B$14)/1000+PRODUCT(SEMANAL!B11,B$15)/1000</f>
        <v>0</v>
      </c>
      <c r="C21" s="124">
        <f>PRODUCT(SEMANAL!D11,C$14)/1000+PRODUCT(SEMANAL!B11,C$15)/1000</f>
        <v>0</v>
      </c>
      <c r="D21" s="124">
        <f>PRODUCT(SEMANAL!D11,D$14)/1000+PRODUCT(SEMANAL!B11,D$15)/1000</f>
        <v>0</v>
      </c>
      <c r="E21" s="124">
        <f>PRODUCT(SEMANAL!D11,E$14)/1000+PRODUCT(SEMANAL!B11,E$15)/1000</f>
        <v>0</v>
      </c>
      <c r="F21" s="124">
        <f>PRODUCT(SEMANAL!D11,F$14)/1000+PRODUCT(SEMANAL!B11,F$15)/1000</f>
        <v>0</v>
      </c>
      <c r="G21" s="124">
        <f>PRODUCT(SEMANAL!D11,G$14)/1000+PRODUCT(SEMANAL!B11,G$15)/1000</f>
        <v>0</v>
      </c>
      <c r="H21" s="124">
        <f>PRODUCT(SEMANAL!D11,H$14)/1000+PRODUCT(SEMANAL!B11,H$15)/1000</f>
        <v>0</v>
      </c>
      <c r="I21" s="124">
        <f>PRODUCT(SEMANAL!D11,I$14)/1000+PRODUCT(SEMANAL!B11,I$15)/1000</f>
        <v>0.1</v>
      </c>
      <c r="J21" s="124">
        <f>PRODUCT(SEMANAL!D11,J$14)/1000+PRODUCT(SEMANAL!B11,J$15)/1000</f>
        <v>0</v>
      </c>
      <c r="K21" s="124">
        <f>PRODUCT(SEMANAL!D11,K$14)/1000+PRODUCT(SEMANAL!B11,K$15)/1000</f>
        <v>0</v>
      </c>
      <c r="L21" s="124">
        <f>PRODUCT(SEMANAL!D11,L$14)/1000+PRODUCT(SEMANAL!B11,L$15)/1000</f>
        <v>0.3</v>
      </c>
      <c r="M21" s="124">
        <f>PRODUCT(SEMANAL!D11,M$14)/1000+PRODUCT(SEMANAL!B11,M$15)/1000</f>
        <v>6.5</v>
      </c>
      <c r="N21" s="124">
        <f>PRODUCT(SEMANAL!D11,N$14)/1000+PRODUCT(SEMANAL!B11,N$15)/1000</f>
        <v>0.6</v>
      </c>
      <c r="O21" s="124">
        <f>PRODUCT(SEMANAL!D11,O$14)/1000+PRODUCT(SEMANAL!B11,O$15)/1000</f>
        <v>0</v>
      </c>
      <c r="P21" s="70">
        <f>SUM('OC CACHARI 2'!B21:O21)</f>
        <v>10</v>
      </c>
      <c r="Q21" s="1">
        <v>2590</v>
      </c>
      <c r="R21" s="1">
        <f t="shared" si="1"/>
        <v>25900</v>
      </c>
      <c r="X21" s="3"/>
      <c r="Y21" s="3"/>
      <c r="Z21" s="3"/>
      <c r="AA21" s="3"/>
      <c r="AB21" s="3"/>
      <c r="AC21" s="3"/>
      <c r="AD21" s="3"/>
    </row>
    <row r="22" spans="1:30" ht="15" customHeight="1">
      <c r="A22" s="61" t="s">
        <v>26</v>
      </c>
      <c r="B22" s="124">
        <f>PRODUCT(SEMANAL!D12,B$14)/1000+PRODUCT(SEMANAL!B12,B$15)/1000</f>
        <v>0</v>
      </c>
      <c r="C22" s="124">
        <f>PRODUCT(SEMANAL!D12,C$14)/1000+PRODUCT(SEMANAL!B12,C$15)/1000</f>
        <v>0</v>
      </c>
      <c r="D22" s="124">
        <f>PRODUCT(SEMANAL!D12,D$14)/1000+PRODUCT(SEMANAL!B12,D$15)/1000</f>
        <v>0</v>
      </c>
      <c r="E22" s="124">
        <f>PRODUCT(SEMANAL!D12,E$14)/1000+PRODUCT(SEMANAL!B12,E$15)/1000</f>
        <v>0</v>
      </c>
      <c r="F22" s="124">
        <f>PRODUCT(SEMANAL!D12,F$14)/1000+PRODUCT(SEMANAL!B12,F$15)/1000</f>
        <v>0</v>
      </c>
      <c r="G22" s="124">
        <f>PRODUCT(SEMANAL!D12,G$14)/1000+PRODUCT(SEMANAL!B12,G$15)/1000</f>
        <v>0</v>
      </c>
      <c r="H22" s="124">
        <f>PRODUCT(SEMANAL!D12,H$14)/1000+PRODUCT(SEMANAL!B12,H$15)/1000</f>
        <v>0</v>
      </c>
      <c r="I22" s="124">
        <f>PRODUCT(SEMANAL!D12,I$14)/1000+PRODUCT(SEMANAL!B12,I$15)/1000</f>
        <v>0.4</v>
      </c>
      <c r="J22" s="124">
        <f>PRODUCT(SEMANAL!D12,J$14)/1000+PRODUCT(SEMANAL!B12,J$15)/1000</f>
        <v>0</v>
      </c>
      <c r="K22" s="124">
        <f>PRODUCT(SEMANAL!D12,K$14)/1000+PRODUCT(SEMANAL!B12,K$15)/1000</f>
        <v>0</v>
      </c>
      <c r="L22" s="124">
        <f>PRODUCT(SEMANAL!D12,L$14)/1000+PRODUCT(SEMANAL!B12,L$15)/1000</f>
        <v>1.2</v>
      </c>
      <c r="M22" s="124">
        <f>PRODUCT(SEMANAL!D12,M$14)/1000+PRODUCT(SEMANAL!B12,M$15)/1000</f>
        <v>26</v>
      </c>
      <c r="N22" s="124">
        <f>PRODUCT(SEMANAL!D12,N$14)/1000+PRODUCT(SEMANAL!B12,N$15)/1000</f>
        <v>2.4</v>
      </c>
      <c r="O22" s="124">
        <f>PRODUCT(SEMANAL!D12,O$14)/1000+PRODUCT(SEMANAL!B12,O$15)/1000</f>
        <v>0</v>
      </c>
      <c r="P22" s="70">
        <f>SUM('OC CACHARI 2'!B22:O22)</f>
        <v>32</v>
      </c>
      <c r="Q22" s="1">
        <v>1250</v>
      </c>
      <c r="R22" s="1">
        <f t="shared" si="1"/>
        <v>40000</v>
      </c>
      <c r="X22" s="3"/>
      <c r="Y22" s="3"/>
      <c r="Z22" s="3"/>
      <c r="AA22" s="3"/>
      <c r="AB22" s="3"/>
      <c r="AC22" s="3"/>
      <c r="AD22" s="3"/>
    </row>
    <row r="23" spans="1:30" ht="15" customHeight="1">
      <c r="A23" s="61" t="s">
        <v>27</v>
      </c>
      <c r="B23" s="124">
        <f>PRODUCT(SEMANAL!D13,B$14)/1000+PRODUCT(SEMANAL!B13,B$15)/1000</f>
        <v>0</v>
      </c>
      <c r="C23" s="124">
        <f>PRODUCT(SEMANAL!D13,C$14)/1000+PRODUCT(SEMANAL!B13,C$15)/1000</f>
        <v>0</v>
      </c>
      <c r="D23" s="124">
        <f>PRODUCT(SEMANAL!D13,D$14)/1000+PRODUCT(SEMANAL!B13,D$15)/1000</f>
        <v>0</v>
      </c>
      <c r="E23" s="124">
        <f>PRODUCT(SEMANAL!D13,E$14)/1000+PRODUCT(SEMANAL!B13,E$15)/1000</f>
        <v>0</v>
      </c>
      <c r="F23" s="124">
        <f>PRODUCT(SEMANAL!D13,F$14)/1000+PRODUCT(SEMANAL!B13,F$15)/1000</f>
        <v>0</v>
      </c>
      <c r="G23" s="124">
        <f>PRODUCT(SEMANAL!D13,G$14)/1000+PRODUCT(SEMANAL!B13,G$15)/1000</f>
        <v>0</v>
      </c>
      <c r="H23" s="124">
        <f>PRODUCT(SEMANAL!D13,H$14)/1000+PRODUCT(SEMANAL!B13,H$15)/1000</f>
        <v>0</v>
      </c>
      <c r="I23" s="124">
        <f>PRODUCT(SEMANAL!D13,I$14)/1000+PRODUCT(SEMANAL!B13,I$15)/1000</f>
        <v>0.15</v>
      </c>
      <c r="J23" s="124">
        <f>PRODUCT(SEMANAL!D13,J$14)/1000+PRODUCT(SEMANAL!B13,J$15)/1000</f>
        <v>0</v>
      </c>
      <c r="K23" s="124">
        <f>PRODUCT(SEMANAL!D13,K$14)/1000+PRODUCT(SEMANAL!B13,K$15)/1000</f>
        <v>0</v>
      </c>
      <c r="L23" s="124">
        <f>PRODUCT(SEMANAL!D13,L$14)/1000+PRODUCT(SEMANAL!B13,L$15)/1000</f>
        <v>0.45</v>
      </c>
      <c r="M23" s="124">
        <f>PRODUCT(SEMANAL!D13,M$14)/1000+PRODUCT(SEMANAL!B13,M$15)/1000</f>
        <v>9.75</v>
      </c>
      <c r="N23" s="124">
        <f>PRODUCT(SEMANAL!D13,N$14)/1000+PRODUCT(SEMANAL!B13,N$15)/1000</f>
        <v>0.9</v>
      </c>
      <c r="O23" s="124">
        <f>PRODUCT(SEMANAL!D13,O$14)/1000+PRODUCT(SEMANAL!B13,O$15)/1000</f>
        <v>0</v>
      </c>
      <c r="P23" s="70">
        <f>SUM('OC CACHARI 2'!B23:O23)</f>
        <v>3</v>
      </c>
      <c r="Q23" s="1">
        <v>1250</v>
      </c>
      <c r="R23" s="1">
        <f t="shared" si="1"/>
        <v>3750</v>
      </c>
      <c r="X23" s="3"/>
      <c r="Y23" s="3"/>
      <c r="Z23" s="3"/>
      <c r="AA23" s="3"/>
      <c r="AB23" s="3"/>
      <c r="AC23" s="3"/>
      <c r="AD23" s="3"/>
    </row>
    <row r="24" spans="1:30" ht="15" customHeight="1">
      <c r="A24" s="61" t="s">
        <v>28</v>
      </c>
      <c r="B24" s="124">
        <f>PRODUCT(SEMANAL!D14,B$14)/1000+PRODUCT(SEMANAL!B14,B$15)/1000</f>
        <v>0</v>
      </c>
      <c r="C24" s="124">
        <f>PRODUCT(SEMANAL!D14,C$14)/1000+PRODUCT(SEMANAL!B14,C$15)/1000</f>
        <v>0</v>
      </c>
      <c r="D24" s="124">
        <f>PRODUCT(SEMANAL!D14,D$14)/1000+PRODUCT(SEMANAL!B14,D$15)/1000</f>
        <v>0</v>
      </c>
      <c r="E24" s="124">
        <f>PRODUCT(SEMANAL!D14,E$14)/1000+PRODUCT(SEMANAL!B14,E$15)/1000</f>
        <v>0</v>
      </c>
      <c r="F24" s="124">
        <f>PRODUCT(SEMANAL!D14,F$14)/1000+PRODUCT(SEMANAL!B14,F$15)/1000</f>
        <v>0</v>
      </c>
      <c r="G24" s="124">
        <f>PRODUCT(SEMANAL!D14,G$14)/1000+PRODUCT(SEMANAL!B14,G$15)/1000</f>
        <v>0</v>
      </c>
      <c r="H24" s="124">
        <f>PRODUCT(SEMANAL!D14,H$14)/1000+PRODUCT(SEMANAL!B14,H$15)/1000</f>
        <v>0</v>
      </c>
      <c r="I24" s="124">
        <f>PRODUCT(SEMANAL!D14,I$14)/1000+PRODUCT(SEMANAL!B14,I$15)/1000</f>
        <v>0.1</v>
      </c>
      <c r="J24" s="124">
        <f>PRODUCT(SEMANAL!D14,J$14)/1000+PRODUCT(SEMANAL!B14,J$15)/1000</f>
        <v>0</v>
      </c>
      <c r="K24" s="124">
        <f>PRODUCT(SEMANAL!D14,K$14)/1000+PRODUCT(SEMANAL!B14,K$15)/1000</f>
        <v>0</v>
      </c>
      <c r="L24" s="124">
        <f>PRODUCT(SEMANAL!D14,L$14)/1000+PRODUCT(SEMANAL!B14,L$15)/1000</f>
        <v>0.3</v>
      </c>
      <c r="M24" s="124">
        <f>PRODUCT(SEMANAL!D14,M$14)/1000+PRODUCT(SEMANAL!B14,M$15)/1000</f>
        <v>6.5</v>
      </c>
      <c r="N24" s="124">
        <f>PRODUCT(SEMANAL!D14,N$14)/1000+PRODUCT(SEMANAL!B14,N$15)/1000</f>
        <v>0.6</v>
      </c>
      <c r="O24" s="124">
        <f>PRODUCT(SEMANAL!D14,O$14)/1000+PRODUCT(SEMANAL!B14,O$15)/1000</f>
        <v>0</v>
      </c>
      <c r="P24" s="70">
        <f>SUM('OC CACHARI 2'!B24:O24)</f>
        <v>3</v>
      </c>
      <c r="Q24" s="1">
        <v>1790</v>
      </c>
      <c r="R24" s="1">
        <f t="shared" si="1"/>
        <v>5370</v>
      </c>
      <c r="X24" s="3"/>
      <c r="Y24" s="3"/>
      <c r="Z24" s="3"/>
      <c r="AA24" s="3"/>
      <c r="AB24" s="3"/>
      <c r="AC24" s="3"/>
      <c r="AD24" s="3"/>
    </row>
    <row r="25" spans="1:30" ht="15" customHeight="1">
      <c r="A25" s="61" t="s">
        <v>29</v>
      </c>
      <c r="B25" s="124">
        <f>PRODUCT(SEMANAL!D15,B$14)/1000+PRODUCT(SEMANAL!B15,B$15)/1000</f>
        <v>0</v>
      </c>
      <c r="C25" s="124">
        <f>PRODUCT(SEMANAL!D15,C$14)/1000+PRODUCT(SEMANAL!B15,C$15)/1000</f>
        <v>0</v>
      </c>
      <c r="D25" s="124">
        <f>PRODUCT(SEMANAL!D15,D$14)/1000+PRODUCT(SEMANAL!B15,D$15)/1000</f>
        <v>0</v>
      </c>
      <c r="E25" s="124">
        <f>PRODUCT(SEMANAL!D15,E$14)/1000+PRODUCT(SEMANAL!B15,E$15)/1000</f>
        <v>0</v>
      </c>
      <c r="F25" s="124">
        <f>PRODUCT(SEMANAL!D15,F$14)/1000+PRODUCT(SEMANAL!B15,F$15)/1000</f>
        <v>0</v>
      </c>
      <c r="G25" s="124">
        <f>PRODUCT(SEMANAL!D15,G$14)/1000+PRODUCT(SEMANAL!B15,G$15)/1000</f>
        <v>0</v>
      </c>
      <c r="H25" s="124">
        <f>PRODUCT(SEMANAL!D15,H$14)/1000+PRODUCT(SEMANAL!B15,H$15)/1000</f>
        <v>0</v>
      </c>
      <c r="I25" s="124">
        <f>PRODUCT(SEMANAL!D15,I$14)/1000+PRODUCT(SEMANAL!B15,I$15)/1000</f>
        <v>7.0000000000000007E-2</v>
      </c>
      <c r="J25" s="124">
        <f>PRODUCT(SEMANAL!D15,J$14)/1000+PRODUCT(SEMANAL!B15,J$15)/1000</f>
        <v>0</v>
      </c>
      <c r="K25" s="124">
        <f>PRODUCT(SEMANAL!D15,K$14)/1000+PRODUCT(SEMANAL!B15,K$15)/1000</f>
        <v>0</v>
      </c>
      <c r="L25" s="124">
        <f>PRODUCT(SEMANAL!D15,L$14)/1000+PRODUCT(SEMANAL!B15,L$15)/1000</f>
        <v>0.21</v>
      </c>
      <c r="M25" s="124">
        <f>PRODUCT(SEMANAL!D15,M$14)/1000+PRODUCT(SEMANAL!B15,M$15)/1000</f>
        <v>4.55</v>
      </c>
      <c r="N25" s="124">
        <f>PRODUCT(SEMANAL!D15,N$14)/1000+PRODUCT(SEMANAL!B15,N$15)/1000</f>
        <v>0.42</v>
      </c>
      <c r="O25" s="124">
        <f>PRODUCT(SEMANAL!D15,O$14)/1000+PRODUCT(SEMANAL!B15,O$15)/1000</f>
        <v>0</v>
      </c>
      <c r="P25" s="70">
        <f>SUM('OC CACHARI 2'!B25:O25)</f>
        <v>8</v>
      </c>
      <c r="Q25" s="1">
        <v>1890</v>
      </c>
      <c r="R25" s="1">
        <f t="shared" si="1"/>
        <v>15120</v>
      </c>
      <c r="X25" s="3"/>
      <c r="Y25" s="3"/>
      <c r="Z25" s="3"/>
      <c r="AA25" s="3"/>
      <c r="AB25" s="3"/>
      <c r="AC25" s="3"/>
      <c r="AD25" s="3"/>
    </row>
    <row r="26" spans="1:30" ht="15" customHeight="1">
      <c r="A26" s="61" t="s">
        <v>30</v>
      </c>
      <c r="B26" s="124">
        <f>PRODUCT(SEMANAL!D16,B$14)/1000+PRODUCT(SEMANAL!B16,B$15)/1000</f>
        <v>0</v>
      </c>
      <c r="C26" s="124">
        <f>PRODUCT(SEMANAL!D16,C$14)/1000+PRODUCT(SEMANAL!B16,C$15)/1000</f>
        <v>0</v>
      </c>
      <c r="D26" s="124">
        <f>PRODUCT(SEMANAL!D16,D$14)/1000+PRODUCT(SEMANAL!B16,D$15)/1000</f>
        <v>0</v>
      </c>
      <c r="E26" s="124">
        <f>PRODUCT(SEMANAL!D16,E$14)/1000+PRODUCT(SEMANAL!B16,E$15)/1000</f>
        <v>0</v>
      </c>
      <c r="F26" s="124">
        <f>PRODUCT(SEMANAL!D16,F$14)/1000+PRODUCT(SEMANAL!B16,F$15)/1000</f>
        <v>0</v>
      </c>
      <c r="G26" s="124">
        <f>PRODUCT(SEMANAL!D16,G$14)/1000+PRODUCT(SEMANAL!B16,G$15)/1000</f>
        <v>0</v>
      </c>
      <c r="H26" s="124">
        <f>PRODUCT(SEMANAL!D16,H$14)/1000+PRODUCT(SEMANAL!B16,H$15)/1000</f>
        <v>0</v>
      </c>
      <c r="I26" s="124">
        <f>PRODUCT(SEMANAL!D16,I$14)/1000+PRODUCT(SEMANAL!B16,I$15)/1000</f>
        <v>4.0000000000000002E-4</v>
      </c>
      <c r="J26" s="124">
        <f>PRODUCT(SEMANAL!D16,J$14)/1000+PRODUCT(SEMANAL!B16,J$15)/1000</f>
        <v>0</v>
      </c>
      <c r="K26" s="124">
        <f>PRODUCT(SEMANAL!D16,K$14)/1000+PRODUCT(SEMANAL!B16,K$15)/1000</f>
        <v>0</v>
      </c>
      <c r="L26" s="124">
        <f>PRODUCT(SEMANAL!D16,L$14)/1000+PRODUCT(SEMANAL!B16,L$15)/1000</f>
        <v>1.2000000000000001E-3</v>
      </c>
      <c r="M26" s="124">
        <f>PRODUCT(SEMANAL!D16,M$14)/1000+PRODUCT(SEMANAL!B16,M$15)/1000</f>
        <v>2.5999999999999999E-2</v>
      </c>
      <c r="N26" s="124">
        <f>PRODUCT(SEMANAL!D16,N$14)/1000+PRODUCT(SEMANAL!B16,N$15)/1000</f>
        <v>2.4000000000000002E-3</v>
      </c>
      <c r="O26" s="124">
        <f>PRODUCT(SEMANAL!D16,O$14)/1000+PRODUCT(SEMANAL!B16,O$15)/1000</f>
        <v>0</v>
      </c>
      <c r="P26" s="70">
        <f>SUM('OC CACHARI 2'!B26:O26)</f>
        <v>3</v>
      </c>
      <c r="Q26" s="1">
        <v>990</v>
      </c>
      <c r="R26" s="1">
        <f t="shared" si="1"/>
        <v>2970</v>
      </c>
      <c r="X26" s="3"/>
      <c r="Y26" s="3"/>
      <c r="Z26" s="3"/>
      <c r="AA26" s="3"/>
      <c r="AB26" s="3"/>
      <c r="AC26" s="3"/>
      <c r="AD26" s="3"/>
    </row>
    <row r="27" spans="1:30" ht="15" customHeight="1">
      <c r="A27" s="61" t="s">
        <v>31</v>
      </c>
      <c r="B27" s="124">
        <f>PRODUCT(SEMANAL!D17,B$14)/1000+PRODUCT(SEMANAL!B17,B$15)/1000</f>
        <v>0</v>
      </c>
      <c r="C27" s="124">
        <f>PRODUCT(SEMANAL!D17,C$14)/1000+PRODUCT(SEMANAL!B17,C$15)/1000</f>
        <v>0</v>
      </c>
      <c r="D27" s="124">
        <f>PRODUCT(SEMANAL!D17,D$14)/1000+PRODUCT(SEMANAL!B17,D$15)/1000</f>
        <v>0</v>
      </c>
      <c r="E27" s="124">
        <f>PRODUCT(SEMANAL!D17,E$14)/1000+PRODUCT(SEMANAL!B17,E$15)/1000</f>
        <v>0</v>
      </c>
      <c r="F27" s="124">
        <f>PRODUCT(SEMANAL!D17,F$14)/1000+PRODUCT(SEMANAL!B17,F$15)/1000</f>
        <v>0</v>
      </c>
      <c r="G27" s="124">
        <f>PRODUCT(SEMANAL!D17,G$14)/1000+PRODUCT(SEMANAL!B17,G$15)/1000</f>
        <v>0</v>
      </c>
      <c r="H27" s="124">
        <f>PRODUCT(SEMANAL!D17,H$14)/1000+PRODUCT(SEMANAL!B17,H$15)/1000</f>
        <v>0</v>
      </c>
      <c r="I27" s="124">
        <f>PRODUCT(SEMANAL!D17,I$14)/1000+PRODUCT(SEMANAL!B17,I$15)/1000</f>
        <v>4.0000000000000002E-4</v>
      </c>
      <c r="J27" s="124">
        <f>PRODUCT(SEMANAL!D17,J$14)/1000+PRODUCT(SEMANAL!B17,J$15)/1000</f>
        <v>0</v>
      </c>
      <c r="K27" s="124">
        <f>PRODUCT(SEMANAL!D17,K$14)/1000+PRODUCT(SEMANAL!B17,K$15)/1000</f>
        <v>0</v>
      </c>
      <c r="L27" s="124">
        <f>PRODUCT(SEMANAL!D17,L$14)/1000+PRODUCT(SEMANAL!B17,L$15)/1000</f>
        <v>1.2000000000000001E-3</v>
      </c>
      <c r="M27" s="124">
        <f>PRODUCT(SEMANAL!D17,M$14)/1000+PRODUCT(SEMANAL!B17,M$15)/1000</f>
        <v>2.5999999999999999E-2</v>
      </c>
      <c r="N27" s="124">
        <f>PRODUCT(SEMANAL!D17,N$14)/1000+PRODUCT(SEMANAL!B17,N$15)/1000</f>
        <v>2.4000000000000002E-3</v>
      </c>
      <c r="O27" s="124">
        <f>PRODUCT(SEMANAL!D17,O$14)/1000+PRODUCT(SEMANAL!B17,O$15)/1000</f>
        <v>0</v>
      </c>
      <c r="P27" s="70">
        <f>SUM('OC CACHARI 2'!B27:O27)</f>
        <v>2</v>
      </c>
      <c r="Q27" s="1">
        <v>2000</v>
      </c>
      <c r="R27" s="1">
        <f t="shared" si="1"/>
        <v>4000</v>
      </c>
      <c r="X27" s="3"/>
      <c r="Y27" s="3"/>
      <c r="Z27" s="3"/>
      <c r="AA27" s="3"/>
      <c r="AB27" s="3"/>
      <c r="AC27" s="3"/>
      <c r="AD27" s="3"/>
    </row>
    <row r="28" spans="1:30" ht="15" customHeight="1">
      <c r="A28" s="61" t="s">
        <v>32</v>
      </c>
      <c r="B28" s="124">
        <f>PRODUCT(SEMANAL!D18,B$14)/12+PRODUCT(SEMANAL!B18,B$15)/12</f>
        <v>0</v>
      </c>
      <c r="C28" s="124">
        <f>PRODUCT(SEMANAL!D18,C$14)/12+PRODUCT(SEMANAL!B18,C$15)/12</f>
        <v>0</v>
      </c>
      <c r="D28" s="124">
        <f>PRODUCT(SEMANAL!D18,D$14)/12+PRODUCT(SEMANAL!B18,D$15)/12</f>
        <v>0</v>
      </c>
      <c r="E28" s="124">
        <f>PRODUCT(SEMANAL!D18,E$14)/12+PRODUCT(SEMANAL!B18,E$15)/12</f>
        <v>0</v>
      </c>
      <c r="F28" s="124">
        <f>PRODUCT(SEMANAL!D18,F$14)/12+PRODUCT(SEMANAL!B18,F$15)/12</f>
        <v>0</v>
      </c>
      <c r="G28" s="124">
        <f>PRODUCT(SEMANAL!D18,G$14)/12+PRODUCT(SEMANAL!B18,G$15)/12</f>
        <v>0</v>
      </c>
      <c r="H28" s="124">
        <f>PRODUCT(SEMANAL!D18,H$14)/12+PRODUCT(SEMANAL!B18,H$15)/12</f>
        <v>0</v>
      </c>
      <c r="I28" s="124">
        <f>PRODUCT(SEMANAL!D18,I$14)/12+PRODUCT(SEMANAL!B18,I$15)/12</f>
        <v>0.25</v>
      </c>
      <c r="J28" s="124">
        <f>PRODUCT(SEMANAL!D18,J$14)/12+PRODUCT(SEMANAL!B18,J$15)/12</f>
        <v>0</v>
      </c>
      <c r="K28" s="124">
        <f>PRODUCT(SEMANAL!D18,K$14)/12+PRODUCT(SEMANAL!B18,K$15)/12</f>
        <v>0</v>
      </c>
      <c r="L28" s="124">
        <f>PRODUCT(SEMANAL!D18,L$14)/12+PRODUCT(SEMANAL!B18,L$15)/12</f>
        <v>0.75</v>
      </c>
      <c r="M28" s="124">
        <f>PRODUCT(SEMANAL!D18,M$14)/12+PRODUCT(SEMANAL!B18,M$15)/12</f>
        <v>16.25</v>
      </c>
      <c r="N28" s="124">
        <f>PRODUCT(SEMANAL!D18,N$14)/12+PRODUCT(SEMANAL!B18,N$15)/12</f>
        <v>1.5</v>
      </c>
      <c r="O28" s="124">
        <f>PRODUCT(SEMANAL!D18,O$14)/12+PRODUCT(SEMANAL!B18,O$15)/12</f>
        <v>0</v>
      </c>
      <c r="P28" s="70">
        <f>SUM('OC CACHARI 2'!B28:O28)</f>
        <v>4</v>
      </c>
      <c r="Q28" s="1">
        <v>2900</v>
      </c>
      <c r="R28" s="1">
        <f t="shared" si="1"/>
        <v>11600</v>
      </c>
      <c r="X28" s="3"/>
      <c r="Y28" s="3"/>
      <c r="Z28" s="3"/>
      <c r="AA28" s="3"/>
      <c r="AB28" s="3"/>
      <c r="AC28" s="3"/>
      <c r="AD28" s="3"/>
    </row>
    <row r="29" spans="1:30" ht="1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125"/>
      <c r="Q29" s="3" t="s">
        <v>280</v>
      </c>
      <c r="R29" s="3">
        <f>SUM(R16:R28)</f>
        <v>694060</v>
      </c>
      <c r="S29" s="3"/>
      <c r="T29" s="3"/>
      <c r="U29" s="3"/>
      <c r="V29" s="3"/>
      <c r="X29" s="1"/>
      <c r="Y29" s="1"/>
      <c r="Z29" s="1"/>
      <c r="AA29" s="1"/>
      <c r="AB29" s="1"/>
      <c r="AC29" s="1"/>
      <c r="AD29" s="1"/>
    </row>
    <row r="30" spans="1:30" ht="1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1"/>
      <c r="Q30" s="3"/>
      <c r="R30" s="3"/>
      <c r="S30" s="3"/>
      <c r="T30" s="3"/>
      <c r="U30" s="3"/>
      <c r="V30" s="3"/>
      <c r="X30" s="1"/>
      <c r="Y30" s="1"/>
      <c r="Z30" s="1"/>
      <c r="AA30" s="1"/>
      <c r="AB30" s="1"/>
      <c r="AC30" s="1"/>
      <c r="AD30" s="1"/>
    </row>
    <row r="31" spans="1:30" ht="15" customHeight="1">
      <c r="A31" s="2" t="s">
        <v>176</v>
      </c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1"/>
      <c r="Q31" s="3"/>
      <c r="R31" s="3"/>
      <c r="S31" s="3"/>
      <c r="T31" s="3"/>
      <c r="U31" s="3"/>
      <c r="V31" s="3"/>
      <c r="X31" s="1"/>
      <c r="Y31" s="1"/>
      <c r="Z31" s="1"/>
      <c r="AA31" s="1"/>
      <c r="AB31" s="1"/>
      <c r="AC31" s="1"/>
      <c r="AD31" s="1"/>
    </row>
    <row r="32" spans="1:30" ht="15" customHeight="1">
      <c r="A32" s="2" t="s">
        <v>281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1"/>
      <c r="Q32" s="3"/>
      <c r="R32" s="3"/>
      <c r="S32" s="3"/>
      <c r="T32" s="3"/>
      <c r="U32" s="3"/>
      <c r="V32" s="3"/>
      <c r="X32" s="1"/>
      <c r="Y32" s="1"/>
      <c r="Z32" s="1"/>
      <c r="AA32" s="1"/>
      <c r="AB32" s="1"/>
      <c r="AC32" s="1"/>
      <c r="AD32" s="1"/>
    </row>
    <row r="33" spans="1:30" ht="1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126"/>
      <c r="Q33" s="3"/>
      <c r="R33" s="3"/>
      <c r="S33" s="3"/>
      <c r="T33" s="3"/>
      <c r="U33" s="3"/>
      <c r="V33" s="3"/>
      <c r="X33" s="1"/>
      <c r="Y33" s="1"/>
      <c r="Z33" s="1"/>
      <c r="AA33" s="1"/>
      <c r="AB33" s="1"/>
      <c r="AC33" s="1"/>
      <c r="AD33" s="1"/>
    </row>
    <row r="34" spans="1:30" ht="15" customHeight="1">
      <c r="A34" s="111"/>
      <c r="B34" s="61" t="s">
        <v>263</v>
      </c>
      <c r="C34" s="61" t="s">
        <v>264</v>
      </c>
      <c r="D34" s="61" t="s">
        <v>265</v>
      </c>
      <c r="E34" s="61" t="s">
        <v>266</v>
      </c>
      <c r="F34" s="61" t="s">
        <v>267</v>
      </c>
      <c r="G34" s="61" t="s">
        <v>268</v>
      </c>
      <c r="H34" s="61" t="s">
        <v>269</v>
      </c>
      <c r="I34" s="61" t="s">
        <v>270</v>
      </c>
      <c r="J34" s="61" t="s">
        <v>271</v>
      </c>
      <c r="K34" s="61" t="s">
        <v>272</v>
      </c>
      <c r="L34" s="61" t="s">
        <v>273</v>
      </c>
      <c r="M34" s="61" t="s">
        <v>274</v>
      </c>
      <c r="N34" s="61" t="s">
        <v>275</v>
      </c>
      <c r="O34" s="61" t="s">
        <v>276</v>
      </c>
      <c r="P34" s="127" t="s">
        <v>33</v>
      </c>
      <c r="Q34" s="3"/>
      <c r="R34" s="3"/>
      <c r="S34" s="3"/>
      <c r="T34" s="3"/>
      <c r="U34" s="3"/>
      <c r="V34" s="3"/>
      <c r="X34" s="1"/>
      <c r="Y34" s="1"/>
      <c r="Z34" s="1"/>
      <c r="AA34" s="1"/>
      <c r="AB34" s="1"/>
      <c r="AC34" s="1"/>
      <c r="AD34" s="1"/>
    </row>
    <row r="35" spans="1:30" ht="15" customHeight="1">
      <c r="A35" s="122" t="s">
        <v>277</v>
      </c>
      <c r="B35" s="123">
        <v>111</v>
      </c>
      <c r="C35" s="123">
        <v>6</v>
      </c>
      <c r="D35" s="123">
        <v>5</v>
      </c>
      <c r="E35" s="123">
        <v>35</v>
      </c>
      <c r="F35" s="123">
        <v>123</v>
      </c>
      <c r="G35" s="123">
        <v>3</v>
      </c>
      <c r="H35" s="123">
        <v>3</v>
      </c>
      <c r="I35" s="123">
        <v>5</v>
      </c>
      <c r="J35" s="123">
        <v>4</v>
      </c>
      <c r="K35" s="123">
        <v>4</v>
      </c>
      <c r="L35" s="123">
        <v>12</v>
      </c>
      <c r="M35" s="123">
        <v>130</v>
      </c>
      <c r="N35" s="123">
        <v>24</v>
      </c>
      <c r="O35" s="123">
        <v>171</v>
      </c>
      <c r="P35" s="79">
        <f t="shared" ref="P35:P36" si="2">SUM(B35:O35)</f>
        <v>636</v>
      </c>
      <c r="Q35" s="3"/>
      <c r="R35" s="3"/>
      <c r="S35" s="3"/>
      <c r="T35" s="3"/>
      <c r="U35" s="3"/>
      <c r="V35" s="3"/>
      <c r="X35" s="1"/>
      <c r="Y35" s="1"/>
      <c r="Z35" s="1"/>
      <c r="AA35" s="1"/>
      <c r="AB35" s="1"/>
      <c r="AC35" s="1"/>
      <c r="AD35" s="1"/>
    </row>
    <row r="36" spans="1:30" ht="15" customHeight="1">
      <c r="A36" s="122" t="s">
        <v>278</v>
      </c>
      <c r="B36" s="123">
        <v>0</v>
      </c>
      <c r="C36" s="123">
        <v>0</v>
      </c>
      <c r="D36" s="123">
        <v>0</v>
      </c>
      <c r="E36" s="123">
        <v>0</v>
      </c>
      <c r="F36" s="123">
        <v>0</v>
      </c>
      <c r="G36" s="123">
        <v>0</v>
      </c>
      <c r="H36" s="123">
        <v>0</v>
      </c>
      <c r="I36" s="123">
        <v>2</v>
      </c>
      <c r="J36" s="123">
        <v>0</v>
      </c>
      <c r="K36" s="123">
        <v>0</v>
      </c>
      <c r="L36" s="123">
        <v>6</v>
      </c>
      <c r="M36" s="123">
        <v>130</v>
      </c>
      <c r="N36" s="123">
        <v>12</v>
      </c>
      <c r="O36" s="123">
        <v>0</v>
      </c>
      <c r="P36" s="79">
        <f t="shared" si="2"/>
        <v>150</v>
      </c>
      <c r="Q36" s="1" t="s">
        <v>18</v>
      </c>
      <c r="R36" s="1" t="s">
        <v>279</v>
      </c>
      <c r="S36" s="3"/>
      <c r="T36" s="3"/>
      <c r="U36" s="3"/>
      <c r="V36" s="3"/>
      <c r="X36" s="1"/>
      <c r="Y36" s="1"/>
      <c r="Z36" s="1"/>
      <c r="AA36" s="1"/>
      <c r="AB36" s="1"/>
      <c r="AC36" s="1"/>
      <c r="AD36" s="1"/>
    </row>
    <row r="37" spans="1:30" ht="15" customHeight="1">
      <c r="A37" s="111" t="s">
        <v>182</v>
      </c>
      <c r="B37" s="128">
        <f>PRODUCT(SEMANAL!D60,B$35)/1000+PRODUCT(SEMANAL!B60,B$36)/1000</f>
        <v>5.55</v>
      </c>
      <c r="C37" s="128">
        <f>PRODUCT(SEMANAL!D60,C$35)/1000+PRODUCT(SEMANAL!B60,C$36)/1000</f>
        <v>0.3</v>
      </c>
      <c r="D37" s="128">
        <f>PRODUCT(SEMANAL!D60,D$35)/1000+PRODUCT(SEMANAL!B60,D$36)/1000</f>
        <v>0.25</v>
      </c>
      <c r="E37" s="128">
        <f>PRODUCT(SEMANAL!D60,E$35)/1000+PRODUCT(SEMANAL!B60,E$36)/1000</f>
        <v>1.75</v>
      </c>
      <c r="F37" s="128">
        <f>PRODUCT(SEMANAL!D60,F$35)/1000+PRODUCT(SEMANAL!B60,F$36)/1000</f>
        <v>6.15</v>
      </c>
      <c r="G37" s="128">
        <f>PRODUCT(SEMANAL!$D$60,G$35)/1000+PRODUCT(SEMANAL!$B$60,G$36)/1000</f>
        <v>0.15</v>
      </c>
      <c r="H37" s="128">
        <f>PRODUCT(SEMANAL!$D$60,H$35)/1000+PRODUCT(SEMANAL!$B$60,H$36)/1000</f>
        <v>0.15</v>
      </c>
      <c r="I37" s="128">
        <f>PRODUCT(SEMANAL!$D$60,I$35)/1000+PRODUCT(SEMANAL!$B$60,I$36)/1000</f>
        <v>0.25</v>
      </c>
      <c r="J37" s="128">
        <f>PRODUCT(SEMANAL!$D$60,J$35)/1000+PRODUCT(SEMANAL!$B$60,J$36)/1000</f>
        <v>0.2</v>
      </c>
      <c r="K37" s="128">
        <f>PRODUCT(SEMANAL!$D$60,K$35)/1000+PRODUCT(SEMANAL!$B$60,K$36)/1000</f>
        <v>0.2</v>
      </c>
      <c r="L37" s="128">
        <f>PRODUCT(SEMANAL!$D$60,L$35)/1000+PRODUCT(SEMANAL!$B$60,L$36)/1000</f>
        <v>0.6</v>
      </c>
      <c r="M37" s="128">
        <f>PRODUCT(SEMANAL!$D$60,M$35)/1000+PRODUCT(SEMANAL!$B$60,M$36)/1000</f>
        <v>6.5</v>
      </c>
      <c r="N37" s="128">
        <f>PRODUCT(SEMANAL!$D$60,N$35)/1000+PRODUCT(SEMANAL!$B$60,N$36)/1000</f>
        <v>1.2</v>
      </c>
      <c r="O37" s="128">
        <f>PRODUCT(SEMANAL!$D$60,O$35)/1000+PRODUCT(SEMANAL!$B$60,O$36)/1000</f>
        <v>8.5500000000000007</v>
      </c>
      <c r="P37" s="70">
        <f>SUM('OC CACHARI 2'!B37:O37)</f>
        <v>41</v>
      </c>
      <c r="Q37" s="3">
        <v>4000</v>
      </c>
      <c r="R37" s="3">
        <f t="shared" ref="R37:R42" si="3">PRODUCT(P37:Q37)</f>
        <v>164000</v>
      </c>
      <c r="S37" s="3"/>
      <c r="T37" s="3"/>
      <c r="U37" s="3"/>
      <c r="V37" s="3"/>
      <c r="X37" s="1"/>
      <c r="Y37" s="1"/>
      <c r="Z37" s="1"/>
      <c r="AA37" s="1"/>
      <c r="AB37" s="1"/>
      <c r="AC37" s="1"/>
      <c r="AD37" s="1"/>
    </row>
    <row r="38" spans="1:30" ht="15" customHeight="1">
      <c r="A38" s="111" t="s">
        <v>183</v>
      </c>
      <c r="B38" s="128">
        <f>PRODUCT(SEMANAL!D61,B$35)/1000+PRODUCT(SEMANAL!B61,B$36)/1000</f>
        <v>5.55</v>
      </c>
      <c r="C38" s="128">
        <f>PRODUCT(SEMANAL!D61,C$35)/1000+PRODUCT(SEMANAL!B61,C$36)/1000</f>
        <v>0.3</v>
      </c>
      <c r="D38" s="128">
        <f>PRODUCT(SEMANAL!D61,D$35)/1000+PRODUCT(SEMANAL!B61,D$36)/1000</f>
        <v>0.25</v>
      </c>
      <c r="E38" s="128">
        <f>PRODUCT(SEMANAL!D61,E$35)/1000+PRODUCT(SEMANAL!B61,E$36)/1000</f>
        <v>1.75</v>
      </c>
      <c r="F38" s="128">
        <f>PRODUCT(SEMANAL!D61,F$35)/1000+PRODUCT(SEMANAL!B61,F$36)/1000</f>
        <v>6.15</v>
      </c>
      <c r="G38" s="128">
        <f>PRODUCT(SEMANAL!$D$60,G$35)/1000+PRODUCT(SEMANAL!$B$60,G$36)/1000</f>
        <v>0.15</v>
      </c>
      <c r="H38" s="128">
        <f>PRODUCT(SEMANAL!$D$60,H$35)/1000+PRODUCT(SEMANAL!$B$60,H$36)/1000</f>
        <v>0.15</v>
      </c>
      <c r="I38" s="128">
        <f>PRODUCT(SEMANAL!$D$60,I$35)/1000+PRODUCT(SEMANAL!$B$60,I$36)/1000</f>
        <v>0.25</v>
      </c>
      <c r="J38" s="128">
        <f>PRODUCT(SEMANAL!$D$60,J$35)/1000+PRODUCT(SEMANAL!$B$60,J$36)/1000</f>
        <v>0.2</v>
      </c>
      <c r="K38" s="128">
        <f>PRODUCT(SEMANAL!$D$60,K$35)/1000+PRODUCT(SEMANAL!$B$60,K$36)/1000</f>
        <v>0.2</v>
      </c>
      <c r="L38" s="128">
        <f>PRODUCT(SEMANAL!$D$60,L$35)/1000+PRODUCT(SEMANAL!$B$60,L$36)/1000</f>
        <v>0.6</v>
      </c>
      <c r="M38" s="128">
        <f>PRODUCT(SEMANAL!$D$60,M$35)/1000+PRODUCT(SEMANAL!$B$60,M$36)/1000</f>
        <v>6.5</v>
      </c>
      <c r="N38" s="128">
        <f>PRODUCT(SEMANAL!$D$60,N$35)/1000+PRODUCT(SEMANAL!$B$60,N$36)/1000</f>
        <v>1.2</v>
      </c>
      <c r="O38" s="128">
        <f>PRODUCT(SEMANAL!$D$60,O$35)/1000+PRODUCT(SEMANAL!$B$60,O$36)/1000</f>
        <v>8.5500000000000007</v>
      </c>
      <c r="P38" s="70">
        <f>SUM('OC CACHARI 2'!B38:O38)</f>
        <v>32</v>
      </c>
      <c r="Q38" s="3">
        <v>4000</v>
      </c>
      <c r="R38" s="3">
        <f t="shared" si="3"/>
        <v>128000</v>
      </c>
      <c r="S38" s="3"/>
      <c r="T38" s="3"/>
      <c r="U38" s="3"/>
      <c r="V38" s="3"/>
      <c r="X38" s="1"/>
      <c r="Y38" s="1"/>
      <c r="Z38" s="1"/>
      <c r="AA38" s="1"/>
      <c r="AB38" s="1"/>
      <c r="AC38" s="1"/>
      <c r="AD38" s="1"/>
    </row>
    <row r="39" spans="1:30" ht="15" customHeight="1">
      <c r="A39" s="111" t="s">
        <v>184</v>
      </c>
      <c r="B39" s="128">
        <f>PRODUCT(SEMANAL!D62,B$35)/1000+PRODUCT(SEMANAL!B62,B$36)/1000</f>
        <v>5.55</v>
      </c>
      <c r="C39" s="128">
        <f>PRODUCT(SEMANAL!D62,C$35)/1000+PRODUCT(SEMANAL!B62,C$36)/1000</f>
        <v>0.3</v>
      </c>
      <c r="D39" s="128">
        <f>PRODUCT(SEMANAL!D62,D$35)/1000+PRODUCT(SEMANAL!B62,D$36)/1000</f>
        <v>0.25</v>
      </c>
      <c r="E39" s="128">
        <f>PRODUCT(SEMANAL!D62,E$35)/1000+PRODUCT(SEMANAL!B62,E$36)/1000</f>
        <v>1.75</v>
      </c>
      <c r="F39" s="128">
        <f>PRODUCT(SEMANAL!D62,F$35)/1000+PRODUCT(SEMANAL!B62,F$36)/1000</f>
        <v>6.15</v>
      </c>
      <c r="G39" s="128">
        <f>PRODUCT(SEMANAL!$D$60,G$35)/1000+PRODUCT(SEMANAL!$B$60,G$36)/1000</f>
        <v>0.15</v>
      </c>
      <c r="H39" s="128">
        <f>PRODUCT(SEMANAL!$D$60,H$35)/1000+PRODUCT(SEMANAL!$B$60,H$36)/1000</f>
        <v>0.15</v>
      </c>
      <c r="I39" s="128">
        <f>PRODUCT(SEMANAL!$D$60,I$35)/1000+PRODUCT(SEMANAL!$B$60,I$36)/1000</f>
        <v>0.25</v>
      </c>
      <c r="J39" s="128">
        <f>PRODUCT(SEMANAL!$D$60,J$35)/1000+PRODUCT(SEMANAL!$B$60,J$36)/1000</f>
        <v>0.2</v>
      </c>
      <c r="K39" s="128">
        <f>PRODUCT(SEMANAL!$D$60,K$35)/1000+PRODUCT(SEMANAL!$B$60,K$36)/1000</f>
        <v>0.2</v>
      </c>
      <c r="L39" s="128">
        <f>PRODUCT(SEMANAL!$D$60,L$35)/1000+PRODUCT(SEMANAL!$B$60,L$36)/1000</f>
        <v>0.6</v>
      </c>
      <c r="M39" s="128">
        <f>PRODUCT(SEMANAL!$D$60,M$35)/1000+PRODUCT(SEMANAL!$B$60,M$36)/1000</f>
        <v>6.5</v>
      </c>
      <c r="N39" s="128">
        <f>PRODUCT(SEMANAL!$D$60,N$35)/1000+PRODUCT(SEMANAL!$B$60,N$36)/1000</f>
        <v>1.2</v>
      </c>
      <c r="O39" s="128">
        <f>PRODUCT(SEMANAL!$D$60,O$35)/1000+PRODUCT(SEMANAL!$B$60,O$36)/1000</f>
        <v>8.5500000000000007</v>
      </c>
      <c r="P39" s="70">
        <f>SUM('OC CACHARI 2'!B39:O39)</f>
        <v>41</v>
      </c>
      <c r="Q39" s="3">
        <v>4000</v>
      </c>
      <c r="R39" s="3">
        <f t="shared" si="3"/>
        <v>164000</v>
      </c>
      <c r="S39" s="3"/>
      <c r="T39" s="3"/>
      <c r="U39" s="3"/>
      <c r="V39" s="3"/>
      <c r="X39" s="1"/>
      <c r="Y39" s="1"/>
      <c r="Z39" s="1"/>
      <c r="AA39" s="1"/>
      <c r="AB39" s="1"/>
      <c r="AC39" s="1"/>
      <c r="AD39" s="1"/>
    </row>
    <row r="40" spans="1:30" ht="15" customHeight="1">
      <c r="A40" s="111" t="s">
        <v>185</v>
      </c>
      <c r="B40" s="128">
        <f>PRODUCT(SEMANAL!D63,B$35)/1000+PRODUCT(SEMANAL!B63,B$36)/1000</f>
        <v>5.55</v>
      </c>
      <c r="C40" s="128">
        <f>PRODUCT(SEMANAL!D63,C$35)/1000+PRODUCT(SEMANAL!B63,C$36)/1000</f>
        <v>0.3</v>
      </c>
      <c r="D40" s="128">
        <f>PRODUCT(SEMANAL!D63,D$35)/1000+PRODUCT(SEMANAL!B63,D$36)/1000</f>
        <v>0.25</v>
      </c>
      <c r="E40" s="128">
        <f>PRODUCT(SEMANAL!D63,E$35)/1000+PRODUCT(SEMANAL!B63,E$36)/1000</f>
        <v>1.75</v>
      </c>
      <c r="F40" s="128">
        <f>PRODUCT(SEMANAL!D63,F$35)/1000+PRODUCT(SEMANAL!B63,F$36)/1000</f>
        <v>6.15</v>
      </c>
      <c r="G40" s="128">
        <f>PRODUCT(SEMANAL!$D$60,G$35)/1000+PRODUCT(SEMANAL!$B$60,G$36)/1000</f>
        <v>0.15</v>
      </c>
      <c r="H40" s="128">
        <f>PRODUCT(SEMANAL!$D$60,H$35)/1000+PRODUCT(SEMANAL!$B$60,H$36)/1000</f>
        <v>0.15</v>
      </c>
      <c r="I40" s="128">
        <f>PRODUCT(SEMANAL!$D$60,I$35)/1000+PRODUCT(SEMANAL!$B$60,I$36)/1000</f>
        <v>0.25</v>
      </c>
      <c r="J40" s="128">
        <f>PRODUCT(SEMANAL!$D$60,J$35)/1000+PRODUCT(SEMANAL!$B$60,J$36)/1000</f>
        <v>0.2</v>
      </c>
      <c r="K40" s="128">
        <f>PRODUCT(SEMANAL!$D$60,K$35)/1000+PRODUCT(SEMANAL!$B$60,K$36)/1000</f>
        <v>0.2</v>
      </c>
      <c r="L40" s="128">
        <f>PRODUCT(SEMANAL!$D$60,L$35)/1000+PRODUCT(SEMANAL!$B$60,L$36)/1000</f>
        <v>0.6</v>
      </c>
      <c r="M40" s="128">
        <f>PRODUCT(SEMANAL!$D$60,M$35)/1000+PRODUCT(SEMANAL!$B$60,M$36)/1000</f>
        <v>6.5</v>
      </c>
      <c r="N40" s="128">
        <f>PRODUCT(SEMANAL!$D$60,N$35)/1000+PRODUCT(SEMANAL!$B$60,N$36)/1000</f>
        <v>1.2</v>
      </c>
      <c r="O40" s="128">
        <f>PRODUCT(SEMANAL!$D$60,O$35)/1000+PRODUCT(SEMANAL!$B$60,O$36)/1000</f>
        <v>8.5500000000000007</v>
      </c>
      <c r="P40" s="70">
        <f>SUM('OC CACHARI 2'!B40:O40)</f>
        <v>32</v>
      </c>
      <c r="Q40" s="3">
        <v>4000</v>
      </c>
      <c r="R40" s="3">
        <f t="shared" si="3"/>
        <v>128000</v>
      </c>
      <c r="S40" s="3"/>
      <c r="T40" s="3"/>
      <c r="U40" s="3"/>
      <c r="V40" s="3"/>
      <c r="X40" s="1"/>
      <c r="Y40" s="1"/>
      <c r="Z40" s="1"/>
      <c r="AA40" s="1"/>
      <c r="AB40" s="1"/>
      <c r="AC40" s="1"/>
      <c r="AD40" s="1"/>
    </row>
    <row r="41" spans="1:30" ht="15" customHeight="1">
      <c r="A41" s="111" t="s">
        <v>186</v>
      </c>
      <c r="B41" s="128">
        <f>PRODUCT(SEMANAL!D64,B$35)/1000+PRODUCT(SEMANAL!B64,B$36)/1000</f>
        <v>5.55</v>
      </c>
      <c r="C41" s="128">
        <f>PRODUCT(SEMANAL!D64,C$35)/1000+PRODUCT(SEMANAL!B64,C$36)/1000</f>
        <v>0.3</v>
      </c>
      <c r="D41" s="128">
        <f>PRODUCT(SEMANAL!D64,D$35)/1000+PRODUCT(SEMANAL!B64,D$36)/1000</f>
        <v>0.25</v>
      </c>
      <c r="E41" s="128">
        <f>PRODUCT(SEMANAL!D64,E$35)/1000+PRODUCT(SEMANAL!B64,E$36)/1000</f>
        <v>1.75</v>
      </c>
      <c r="F41" s="128">
        <f>PRODUCT(SEMANAL!D64,F$35)/1000+PRODUCT(SEMANAL!B64,F$36)/1000</f>
        <v>6.15</v>
      </c>
      <c r="G41" s="128">
        <f>PRODUCT(SEMANAL!$D$60,G$35)/1000+PRODUCT(SEMANAL!$B$60,G$36)/1000</f>
        <v>0.15</v>
      </c>
      <c r="H41" s="128">
        <f>PRODUCT(SEMANAL!$D$60,H$35)/1000+PRODUCT(SEMANAL!$B$60,H$36)/1000</f>
        <v>0.15</v>
      </c>
      <c r="I41" s="128">
        <f>PRODUCT(SEMANAL!$D$60,I$35)/1000+PRODUCT(SEMANAL!$B$60,I$36)/1000</f>
        <v>0.25</v>
      </c>
      <c r="J41" s="128">
        <f>PRODUCT(SEMANAL!$D$60,J$35)/1000+PRODUCT(SEMANAL!$B$60,J$36)/1000</f>
        <v>0.2</v>
      </c>
      <c r="K41" s="128">
        <f>PRODUCT(SEMANAL!$D$60,K$35)/1000+PRODUCT(SEMANAL!$B$60,K$36)/1000</f>
        <v>0.2</v>
      </c>
      <c r="L41" s="128">
        <f>PRODUCT(SEMANAL!$D$60,L$35)/1000+PRODUCT(SEMANAL!$B$60,L$36)/1000</f>
        <v>0.6</v>
      </c>
      <c r="M41" s="128">
        <f>PRODUCT(SEMANAL!$D$60,M$35)/1000+PRODUCT(SEMANAL!$B$60,M$36)/1000</f>
        <v>6.5</v>
      </c>
      <c r="N41" s="128">
        <f>PRODUCT(SEMANAL!$D$60,N$35)/1000+PRODUCT(SEMANAL!$B$60,N$36)/1000</f>
        <v>1.2</v>
      </c>
      <c r="O41" s="128">
        <f>PRODUCT(SEMANAL!$D$60,O$35)/1000+PRODUCT(SEMANAL!$B$60,O$36)/1000</f>
        <v>8.5500000000000007</v>
      </c>
      <c r="P41" s="70">
        <f>SUM('OC CACHARI 2'!B41:O41)</f>
        <v>41</v>
      </c>
      <c r="Q41" s="3">
        <v>4000</v>
      </c>
      <c r="R41" s="3">
        <f t="shared" si="3"/>
        <v>164000</v>
      </c>
      <c r="S41" s="3"/>
      <c r="T41" s="3"/>
      <c r="U41" s="3"/>
      <c r="V41" s="3"/>
      <c r="X41" s="1"/>
      <c r="Y41" s="1"/>
      <c r="Z41" s="1"/>
      <c r="AA41" s="1"/>
      <c r="AB41" s="1"/>
      <c r="AC41" s="1"/>
      <c r="AD41" s="1"/>
    </row>
    <row r="42" spans="1:30" ht="15" customHeight="1">
      <c r="A42" s="111" t="s">
        <v>282</v>
      </c>
      <c r="B42" s="128">
        <f>PRODUCT(SEMANAL!D65,B$35)/1000+PRODUCT(SEMANAL!B65,B$36)/1000</f>
        <v>0</v>
      </c>
      <c r="C42" s="128">
        <f>PRODUCT(SEMANAL!D65,C$35)/1000+PRODUCT(SEMANAL!B65,C$36)/1000</f>
        <v>0</v>
      </c>
      <c r="D42" s="128">
        <f>PRODUCT(SEMANAL!D65,D$35)/1000+PRODUCT(SEMANAL!B65,D$36)/1000</f>
        <v>0</v>
      </c>
      <c r="E42" s="128">
        <f>PRODUCT(SEMANAL!D65,E$35)/1000+PRODUCT(SEMANAL!B65,E$36)/1000</f>
        <v>0</v>
      </c>
      <c r="F42" s="129">
        <f>PRODUCT(SEMANAL!D65,F$35)/1000+PRODUCT(SEMANAL!B65,F$36)/1000</f>
        <v>0</v>
      </c>
      <c r="G42" s="128">
        <f>PRODUCT(SEMANAL!$D$65,G$35)/1000+PRODUCT(SEMANAL!$B$65,G$36)/1000</f>
        <v>0</v>
      </c>
      <c r="H42" s="128">
        <f>PRODUCT(SEMANAL!$D$65,H$35)/1000+PRODUCT(SEMANAL!$B$65,H$36)/1000</f>
        <v>0</v>
      </c>
      <c r="I42" s="128">
        <f>PRODUCT(SEMANAL!$D$65,I$35)/1000+PRODUCT(SEMANAL!$B$65,I$36)/1000</f>
        <v>0</v>
      </c>
      <c r="J42" s="128">
        <f>PRODUCT(SEMANAL!$D$65,J$35)/1000+PRODUCT(SEMANAL!$B$65,J$36)/1000</f>
        <v>0</v>
      </c>
      <c r="K42" s="128">
        <f>PRODUCT(SEMANAL!$D$65,K$35)/1000+PRODUCT(SEMANAL!$B$65,K$36)/1000</f>
        <v>0</v>
      </c>
      <c r="L42" s="128">
        <f>PRODUCT(SEMANAL!$D$65,L$35)/1000+PRODUCT(SEMANAL!$B$65,L$36)/1000</f>
        <v>0</v>
      </c>
      <c r="M42" s="128">
        <f>PRODUCT(SEMANAL!$D$65,M$35)/1000+PRODUCT(SEMANAL!$B$65,M$36)/1000</f>
        <v>0</v>
      </c>
      <c r="N42" s="128">
        <f>PRODUCT(SEMANAL!$D$65,N$35)/1000+PRODUCT(SEMANAL!$B$65,N$36)/1000</f>
        <v>0</v>
      </c>
      <c r="O42" s="128">
        <f>PRODUCT(SEMANAL!$D$65,O$35)/1000+PRODUCT(SEMANAL!$B$65,O$36)/1000</f>
        <v>0</v>
      </c>
      <c r="P42" s="70">
        <f>SUM('OC CACHARI 2'!B42:O42)</f>
        <v>0</v>
      </c>
      <c r="Q42" s="3">
        <v>4000</v>
      </c>
      <c r="R42" s="3">
        <f t="shared" si="3"/>
        <v>0</v>
      </c>
      <c r="S42" s="3"/>
      <c r="T42" s="3"/>
      <c r="U42" s="3"/>
      <c r="V42" s="3"/>
      <c r="X42" s="1"/>
      <c r="Y42" s="1"/>
      <c r="Z42" s="1"/>
      <c r="AA42" s="1"/>
      <c r="AB42" s="1"/>
      <c r="AC42" s="1"/>
      <c r="AD42" s="1"/>
    </row>
    <row r="43" spans="1:30" ht="15" customHeight="1">
      <c r="A43" s="3"/>
      <c r="B43" s="3"/>
      <c r="C43" s="3"/>
      <c r="D43" s="3"/>
      <c r="E43" s="3"/>
      <c r="F43" s="130"/>
      <c r="G43" s="3"/>
      <c r="H43" s="3"/>
      <c r="I43" s="3"/>
      <c r="J43" s="3"/>
      <c r="K43" s="3"/>
      <c r="L43" s="3"/>
      <c r="M43" s="3"/>
      <c r="N43" s="3"/>
      <c r="O43" s="3"/>
      <c r="P43" s="125"/>
      <c r="Q43" s="3" t="s">
        <v>280</v>
      </c>
      <c r="R43" s="3">
        <f>SUM(R37:R42)</f>
        <v>748000</v>
      </c>
      <c r="S43" s="3"/>
      <c r="T43" s="3"/>
      <c r="U43" s="3"/>
      <c r="V43" s="3"/>
      <c r="X43" s="1"/>
      <c r="Y43" s="1"/>
      <c r="Z43" s="1"/>
      <c r="AA43" s="1"/>
      <c r="AB43" s="1"/>
      <c r="AC43" s="1"/>
      <c r="AD43" s="1"/>
    </row>
    <row r="44" spans="1:30" ht="1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1"/>
      <c r="Q44" s="3"/>
      <c r="R44" s="3"/>
      <c r="S44" s="3"/>
      <c r="T44" s="3"/>
      <c r="U44" s="3"/>
      <c r="V44" s="3"/>
      <c r="X44" s="1"/>
      <c r="Y44" s="1"/>
      <c r="Z44" s="1"/>
      <c r="AA44" s="1"/>
      <c r="AB44" s="1"/>
      <c r="AC44" s="1"/>
      <c r="AD44" s="1"/>
    </row>
    <row r="45" spans="1:30" ht="1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1"/>
      <c r="Q45" s="3"/>
      <c r="R45" s="3"/>
      <c r="S45" s="3"/>
      <c r="T45" s="3"/>
      <c r="U45" s="3"/>
      <c r="V45" s="3"/>
      <c r="X45" s="1"/>
      <c r="Y45" s="1"/>
      <c r="Z45" s="1"/>
      <c r="AA45" s="1"/>
      <c r="AB45" s="1"/>
      <c r="AC45" s="1"/>
      <c r="AD45" s="1"/>
    </row>
    <row r="46" spans="1:30" ht="1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1"/>
      <c r="Q46" s="3"/>
      <c r="R46" s="3"/>
      <c r="S46" s="3"/>
      <c r="T46" s="3"/>
      <c r="U46" s="3"/>
      <c r="V46" s="3"/>
      <c r="X46" s="1"/>
      <c r="Y46" s="1"/>
      <c r="Z46" s="1"/>
      <c r="AA46" s="1"/>
      <c r="AB46" s="1"/>
      <c r="AC46" s="1"/>
      <c r="AD46" s="1"/>
    </row>
    <row r="47" spans="1:30" ht="15" customHeight="1">
      <c r="A47" s="2" t="s">
        <v>90</v>
      </c>
      <c r="B47" s="2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1"/>
      <c r="Q47" s="3"/>
      <c r="R47" s="3"/>
      <c r="S47" s="3"/>
      <c r="T47" s="3"/>
      <c r="U47" s="3"/>
      <c r="V47" s="3"/>
      <c r="X47" s="1"/>
      <c r="Y47" s="1"/>
      <c r="Z47" s="1"/>
      <c r="AA47" s="1"/>
      <c r="AB47" s="1"/>
      <c r="AC47" s="1"/>
      <c r="AD47" s="1"/>
    </row>
    <row r="48" spans="1:30" ht="15" customHeight="1">
      <c r="A48" s="2" t="s">
        <v>283</v>
      </c>
      <c r="B48" s="2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1"/>
      <c r="Q48" s="3"/>
      <c r="R48" s="3"/>
      <c r="S48" s="3"/>
      <c r="T48" s="3"/>
      <c r="U48" s="3"/>
      <c r="V48" s="3"/>
      <c r="X48" s="1"/>
      <c r="Y48" s="1"/>
      <c r="Z48" s="1"/>
      <c r="AA48" s="1"/>
      <c r="AB48" s="1"/>
      <c r="AC48" s="1"/>
      <c r="AD48" s="1"/>
    </row>
    <row r="49" spans="1:30" ht="1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126"/>
      <c r="Q49" s="3"/>
      <c r="R49" s="3"/>
      <c r="S49" s="3"/>
      <c r="T49" s="3"/>
      <c r="U49" s="3"/>
      <c r="V49" s="3"/>
      <c r="X49" s="1"/>
      <c r="Y49" s="1"/>
      <c r="Z49" s="1"/>
      <c r="AA49" s="1"/>
      <c r="AB49" s="1"/>
      <c r="AC49" s="1"/>
      <c r="AD49" s="1"/>
    </row>
    <row r="50" spans="1:30" ht="15" customHeight="1">
      <c r="A50" s="111"/>
      <c r="B50" s="61" t="s">
        <v>263</v>
      </c>
      <c r="C50" s="61" t="s">
        <v>264</v>
      </c>
      <c r="D50" s="61" t="s">
        <v>265</v>
      </c>
      <c r="E50" s="61" t="s">
        <v>266</v>
      </c>
      <c r="F50" s="61" t="s">
        <v>267</v>
      </c>
      <c r="G50" s="61" t="s">
        <v>268</v>
      </c>
      <c r="H50" s="61" t="s">
        <v>269</v>
      </c>
      <c r="I50" s="61" t="s">
        <v>270</v>
      </c>
      <c r="J50" s="61" t="s">
        <v>271</v>
      </c>
      <c r="K50" s="61" t="s">
        <v>272</v>
      </c>
      <c r="L50" s="61" t="s">
        <v>273</v>
      </c>
      <c r="M50" s="61" t="s">
        <v>274</v>
      </c>
      <c r="N50" s="61" t="s">
        <v>275</v>
      </c>
      <c r="O50" s="61" t="s">
        <v>276</v>
      </c>
      <c r="P50" s="127" t="s">
        <v>33</v>
      </c>
      <c r="X50" s="3"/>
      <c r="Y50" s="3"/>
      <c r="Z50" s="3"/>
      <c r="AA50" s="3"/>
      <c r="AB50" s="3"/>
      <c r="AC50" s="3"/>
      <c r="AD50" s="3"/>
    </row>
    <row r="51" spans="1:30" ht="15" customHeight="1">
      <c r="A51" s="122" t="s">
        <v>277</v>
      </c>
      <c r="B51" s="123">
        <v>111</v>
      </c>
      <c r="C51" s="123">
        <v>6</v>
      </c>
      <c r="D51" s="123">
        <v>5</v>
      </c>
      <c r="E51" s="123">
        <v>35</v>
      </c>
      <c r="F51" s="123">
        <v>123</v>
      </c>
      <c r="G51" s="123">
        <v>3</v>
      </c>
      <c r="H51" s="123">
        <v>3</v>
      </c>
      <c r="I51" s="123">
        <v>5</v>
      </c>
      <c r="J51" s="123">
        <v>4</v>
      </c>
      <c r="K51" s="123">
        <v>4</v>
      </c>
      <c r="L51" s="123">
        <v>12</v>
      </c>
      <c r="M51" s="123">
        <v>130</v>
      </c>
      <c r="N51" s="123">
        <v>24</v>
      </c>
      <c r="O51" s="123">
        <v>171</v>
      </c>
      <c r="P51" s="79">
        <f t="shared" ref="P51:P52" si="4">SUM(B51:O51)</f>
        <v>636</v>
      </c>
      <c r="X51" s="3"/>
      <c r="Y51" s="3"/>
      <c r="Z51" s="3"/>
      <c r="AA51" s="3"/>
      <c r="AB51" s="3"/>
      <c r="AC51" s="3"/>
      <c r="AD51" s="3"/>
    </row>
    <row r="52" spans="1:30" ht="15" customHeight="1">
      <c r="A52" s="122" t="s">
        <v>278</v>
      </c>
      <c r="B52" s="123">
        <v>0</v>
      </c>
      <c r="C52" s="123">
        <v>0</v>
      </c>
      <c r="D52" s="123">
        <v>0</v>
      </c>
      <c r="E52" s="123">
        <v>0</v>
      </c>
      <c r="F52" s="123">
        <v>0</v>
      </c>
      <c r="G52" s="123">
        <v>0</v>
      </c>
      <c r="H52" s="123">
        <v>0</v>
      </c>
      <c r="I52" s="123">
        <v>2</v>
      </c>
      <c r="J52" s="123">
        <v>0</v>
      </c>
      <c r="K52" s="123">
        <v>0</v>
      </c>
      <c r="L52" s="123">
        <v>6</v>
      </c>
      <c r="M52" s="123">
        <v>130</v>
      </c>
      <c r="N52" s="123">
        <v>12</v>
      </c>
      <c r="O52" s="123">
        <v>0</v>
      </c>
      <c r="P52" s="79">
        <f t="shared" si="4"/>
        <v>150</v>
      </c>
      <c r="Q52" s="1" t="s">
        <v>18</v>
      </c>
      <c r="R52" s="1" t="s">
        <v>279</v>
      </c>
      <c r="X52" s="3"/>
      <c r="Y52" s="3"/>
      <c r="Z52" s="3"/>
      <c r="AA52" s="3"/>
      <c r="AB52" s="3"/>
      <c r="AC52" s="3"/>
      <c r="AD52" s="3"/>
    </row>
    <row r="53" spans="1:30" ht="15" customHeight="1">
      <c r="A53" s="61" t="s">
        <v>284</v>
      </c>
      <c r="B53" s="128">
        <f>PRODUCT(SEMANAL!$D24,B$51)/1000+PRODUCT(SEMANAL!$B24,B$52)/1000</f>
        <v>66.599999999999994</v>
      </c>
      <c r="C53" s="128">
        <f>PRODUCT(SEMANAL!$D24,C$51)/1000+PRODUCT(SEMANAL!$B24,C$52)/1000</f>
        <v>3.6</v>
      </c>
      <c r="D53" s="128">
        <f>PRODUCT(SEMANAL!$D24,D$51)/1000+PRODUCT(SEMANAL!$B24,D$52)/1000</f>
        <v>3</v>
      </c>
      <c r="E53" s="128">
        <f>PRODUCT(SEMANAL!$D24,E$51)/1000+PRODUCT(SEMANAL!$B24,E$52)/1000</f>
        <v>21</v>
      </c>
      <c r="F53" s="128">
        <f>PRODUCT(SEMANAL!$D24,F$51)/1000+PRODUCT(SEMANAL!$B24,F$52)/1000</f>
        <v>73.8</v>
      </c>
      <c r="G53" s="128">
        <f>PRODUCT(SEMANAL!$D24,G$51)/1000+PRODUCT(SEMANAL!$B24,G$52)/1000</f>
        <v>1.8</v>
      </c>
      <c r="H53" s="128">
        <f>PRODUCT(SEMANAL!$D24,H$51)/1000+PRODUCT(SEMANAL!$B24,H$52)/1000</f>
        <v>1.8</v>
      </c>
      <c r="I53" s="128">
        <f>PRODUCT(SEMANAL!$D24,I$51)/1000+PRODUCT(SEMANAL!$B24,I$52)/1000</f>
        <v>3.25</v>
      </c>
      <c r="J53" s="128">
        <f>PRODUCT(SEMANAL!$D24,J$51)/1000+PRODUCT(SEMANAL!$B24,J$52)/1000</f>
        <v>2.4</v>
      </c>
      <c r="K53" s="128">
        <f>PRODUCT(SEMANAL!$D24,K$51)/1000+PRODUCT(SEMANAL!$B24,K$52)/1000</f>
        <v>2.4</v>
      </c>
      <c r="L53" s="128">
        <f>PRODUCT(SEMANAL!$D24,L$51)/1000+PRODUCT(SEMANAL!$B24,L$52)/1000</f>
        <v>7.95</v>
      </c>
      <c r="M53" s="128">
        <f>PRODUCT(SEMANAL!$D24,M$51)/1000+PRODUCT(SEMANAL!$B24,M$52)/1000</f>
        <v>94.25</v>
      </c>
      <c r="N53" s="128">
        <f>PRODUCT(SEMANAL!$D24,N$51)/1000+PRODUCT(SEMANAL!$B24,N$52)/1000</f>
        <v>15.9</v>
      </c>
      <c r="O53" s="128">
        <f>PRODUCT(SEMANAL!$D24,O$51)/1000+PRODUCT(SEMANAL!$B24,O$52)/1000</f>
        <v>102.6</v>
      </c>
      <c r="P53" s="70">
        <f>SUM('OC CACHARI 2'!B53:O53)</f>
        <v>243</v>
      </c>
      <c r="Q53" s="1">
        <v>2230</v>
      </c>
      <c r="R53" s="1">
        <f t="shared" ref="R53:R75" si="5">PRODUCT(P53:Q53)</f>
        <v>541890</v>
      </c>
      <c r="X53" s="3"/>
      <c r="Y53" s="3"/>
      <c r="Z53" s="3"/>
      <c r="AA53" s="3"/>
      <c r="AB53" s="3"/>
      <c r="AC53" s="3"/>
      <c r="AD53" s="3"/>
    </row>
    <row r="54" spans="1:30" ht="15" customHeight="1">
      <c r="A54" s="61" t="s">
        <v>285</v>
      </c>
      <c r="B54" s="128">
        <f>PRODUCT(SEMANAL!$D25,B$51)/1000+PRODUCT(SEMANAL!$B25,B$52)/1000</f>
        <v>1.665</v>
      </c>
      <c r="C54" s="128">
        <f>PRODUCT(SEMANAL!$D25,C$51)/1000+PRODUCT(SEMANAL!$B25,C$52)/1000</f>
        <v>0.09</v>
      </c>
      <c r="D54" s="128">
        <f>PRODUCT(SEMANAL!$D25,D$51)/1000+PRODUCT(SEMANAL!$B25,D$52)/1000</f>
        <v>7.4999999999999997E-2</v>
      </c>
      <c r="E54" s="128">
        <f>PRODUCT(SEMANAL!$D25,E$51)/1000+PRODUCT(SEMANAL!$B25,E$52)/1000</f>
        <v>0.52500000000000002</v>
      </c>
      <c r="F54" s="128">
        <f>PRODUCT(SEMANAL!$D25,F$51)/1000+PRODUCT(SEMANAL!$B25,F$52)/1000</f>
        <v>1.845</v>
      </c>
      <c r="G54" s="128">
        <f>PRODUCT(SEMANAL!$D25,G$51)/1000+PRODUCT(SEMANAL!$B25,G$52)/1000</f>
        <v>4.4999999999999998E-2</v>
      </c>
      <c r="H54" s="128">
        <f>PRODUCT(SEMANAL!$D25,H$51)/1000+PRODUCT(SEMANAL!$B25,H$52)/1000</f>
        <v>4.4999999999999998E-2</v>
      </c>
      <c r="I54" s="128">
        <f>PRODUCT(SEMANAL!$D25,I$51)/1000+PRODUCT(SEMANAL!$B25,I$52)/1000</f>
        <v>8.8999999999999996E-2</v>
      </c>
      <c r="J54" s="128">
        <f>PRODUCT(SEMANAL!$D25,J$51)/1000+PRODUCT(SEMANAL!$B25,J$52)/1000</f>
        <v>0.06</v>
      </c>
      <c r="K54" s="128">
        <f>PRODUCT(SEMANAL!$D25,K$51)/1000+PRODUCT(SEMANAL!$B25,K$52)/1000</f>
        <v>0.06</v>
      </c>
      <c r="L54" s="128">
        <f>PRODUCT(SEMANAL!$D25,L$51)/1000+PRODUCT(SEMANAL!$B25,L$52)/1000</f>
        <v>0.222</v>
      </c>
      <c r="M54" s="128">
        <f>PRODUCT(SEMANAL!$D25,M$51)/1000+PRODUCT(SEMANAL!$B25,M$52)/1000</f>
        <v>2.86</v>
      </c>
      <c r="N54" s="128">
        <f>PRODUCT(SEMANAL!$D25,N$51)/1000+PRODUCT(SEMANAL!$B25,N$52)/1000</f>
        <v>0.44400000000000001</v>
      </c>
      <c r="O54" s="128">
        <f>PRODUCT(SEMANAL!$D25,O$51)/1000+PRODUCT(SEMANAL!$B25,O$52)/1000</f>
        <v>2.5649999999999999</v>
      </c>
      <c r="P54" s="70">
        <f>SUM('OC CACHARI 2'!B54:O54)</f>
        <v>15</v>
      </c>
      <c r="Q54" s="1">
        <v>1503</v>
      </c>
      <c r="R54" s="1">
        <f t="shared" si="5"/>
        <v>22545</v>
      </c>
      <c r="X54" s="3"/>
      <c r="Y54" s="3"/>
      <c r="Z54" s="3"/>
      <c r="AA54" s="3"/>
      <c r="AB54" s="3"/>
      <c r="AC54" s="3"/>
      <c r="AD54" s="3"/>
    </row>
    <row r="55" spans="1:30" ht="15" customHeight="1">
      <c r="A55" s="61" t="s">
        <v>286</v>
      </c>
      <c r="B55" s="128">
        <f>PRODUCT(SEMANAL!$D26,B$51)/25+PRODUCT(SEMANAL!$B26,B$52)/25</f>
        <v>6.66</v>
      </c>
      <c r="C55" s="128">
        <f>PRODUCT(SEMANAL!$D26,C$51)/25+PRODUCT(SEMANAL!$B26,C$52)/25</f>
        <v>0.36</v>
      </c>
      <c r="D55" s="128">
        <f>PRODUCT(SEMANAL!$D26,D$51)/25+PRODUCT(SEMANAL!$B26,D$52)/25</f>
        <v>0.3</v>
      </c>
      <c r="E55" s="128">
        <f>PRODUCT(SEMANAL!$D26,E$51)/25+PRODUCT(SEMANAL!$B26,E$52)/25</f>
        <v>2.1</v>
      </c>
      <c r="F55" s="128">
        <f>PRODUCT(SEMANAL!$D26,F$51)/25+PRODUCT(SEMANAL!$B26,F$52)/25</f>
        <v>7.38</v>
      </c>
      <c r="G55" s="128">
        <f>PRODUCT(SEMANAL!$D26,G$51)/25+PRODUCT(SEMANAL!$B26,G$52)/25</f>
        <v>0.18</v>
      </c>
      <c r="H55" s="128">
        <f>PRODUCT(SEMANAL!$D26,H$51)/25+PRODUCT(SEMANAL!$B26,H$52)/25</f>
        <v>0.18</v>
      </c>
      <c r="I55" s="128">
        <f>PRODUCT(SEMANAL!$D26,I$51)/25+PRODUCT(SEMANAL!$B26,I$52)/25</f>
        <v>0.3</v>
      </c>
      <c r="J55" s="128">
        <f>PRODUCT(SEMANAL!$D26,J$51)/25+PRODUCT(SEMANAL!$B26,J$52)/25</f>
        <v>0.24</v>
      </c>
      <c r="K55" s="128">
        <f>PRODUCT(SEMANAL!$D26,K$51)/25+PRODUCT(SEMANAL!$B26,K$52)/25</f>
        <v>0.24</v>
      </c>
      <c r="L55" s="128">
        <f>PRODUCT(SEMANAL!$D26,L$51)/25+PRODUCT(SEMANAL!$B26,L$52)/25</f>
        <v>0.72</v>
      </c>
      <c r="M55" s="128">
        <f>PRODUCT(SEMANAL!$D26,M$51)/25+PRODUCT(SEMANAL!$B26,M$52)/25</f>
        <v>7.8</v>
      </c>
      <c r="N55" s="128">
        <f>PRODUCT(SEMANAL!$D26,N$51)/25+PRODUCT(SEMANAL!$B26,N$52)/25</f>
        <v>1.44</v>
      </c>
      <c r="O55" s="128">
        <f>PRODUCT(SEMANAL!$D26,O$51)/25+PRODUCT(SEMANAL!$B26,O$52)/25</f>
        <v>10.26</v>
      </c>
      <c r="P55" s="70">
        <f>SUM('OC CACHARI 2'!B55:O55)</f>
        <v>17</v>
      </c>
      <c r="Q55" s="1">
        <v>1208</v>
      </c>
      <c r="R55" s="1">
        <f t="shared" si="5"/>
        <v>20536</v>
      </c>
      <c r="X55" s="3"/>
      <c r="Y55" s="3"/>
      <c r="Z55" s="3"/>
      <c r="AA55" s="3"/>
      <c r="AB55" s="3"/>
      <c r="AC55" s="3"/>
      <c r="AD55" s="3"/>
    </row>
    <row r="56" spans="1:30" ht="15" customHeight="1">
      <c r="A56" s="61" t="s">
        <v>95</v>
      </c>
      <c r="B56" s="128">
        <f>PRODUCT(SEMANAL!$D27,B$51)/360+PRODUCT(SEMANAL!$B27,B$52)/360</f>
        <v>6.166666666666667</v>
      </c>
      <c r="C56" s="128">
        <f>PRODUCT(SEMANAL!$D27,C$51)/360+PRODUCT(SEMANAL!$B27,C$52)/360</f>
        <v>0.33333333333333331</v>
      </c>
      <c r="D56" s="128">
        <f>PRODUCT(SEMANAL!$D27,D$51)/360+PRODUCT(SEMANAL!$B27,D$52)/360</f>
        <v>0.27777777777777779</v>
      </c>
      <c r="E56" s="128">
        <f>PRODUCT(SEMANAL!$D27,E$51)/360+PRODUCT(SEMANAL!$B27,E$52)/360</f>
        <v>1.9444444444444444</v>
      </c>
      <c r="F56" s="128">
        <f>PRODUCT(SEMANAL!$D27,F$51)/360+PRODUCT(SEMANAL!$B27,F$52)/360</f>
        <v>6.833333333333333</v>
      </c>
      <c r="G56" s="128">
        <f>PRODUCT(SEMANAL!$D27,G$51)/360+PRODUCT(SEMANAL!$B27,G$52)/360</f>
        <v>0.16666666666666666</v>
      </c>
      <c r="H56" s="128">
        <f>PRODUCT(SEMANAL!$D27,H$51)/360+PRODUCT(SEMANAL!$B27,H$52)/360</f>
        <v>0.16666666666666666</v>
      </c>
      <c r="I56" s="128">
        <f>PRODUCT(SEMANAL!$D27,I$51)/360+PRODUCT(SEMANAL!$B27,I$52)/360</f>
        <v>0.27777777777777779</v>
      </c>
      <c r="J56" s="128">
        <f>PRODUCT(SEMANAL!$D27,J$51)/360+PRODUCT(SEMANAL!$B27,J$52)/360</f>
        <v>0.22222222222222221</v>
      </c>
      <c r="K56" s="128">
        <f>PRODUCT(SEMANAL!$D27,K$51)/360+PRODUCT(SEMANAL!$B27,K$52)/360</f>
        <v>0.22222222222222221</v>
      </c>
      <c r="L56" s="128">
        <f>PRODUCT(SEMANAL!$D27,L$51)/360+PRODUCT(SEMANAL!$B27,L$52)/360</f>
        <v>0.66666666666666663</v>
      </c>
      <c r="M56" s="128">
        <f>PRODUCT(SEMANAL!$D27,M$51)/360+PRODUCT(SEMANAL!$B27,M$52)/360</f>
        <v>7.2222222222222223</v>
      </c>
      <c r="N56" s="128">
        <f>PRODUCT(SEMANAL!$D27,N$51)/360+PRODUCT(SEMANAL!$B27,N$52)/360</f>
        <v>1.3333333333333333</v>
      </c>
      <c r="O56" s="128">
        <f>PRODUCT(SEMANAL!$D27,O$51)/360+PRODUCT(SEMANAL!$B27,O$52)/360</f>
        <v>9.5</v>
      </c>
      <c r="P56" s="70">
        <f>SUM('OC CACHARI 2'!B56:O56)</f>
        <v>25</v>
      </c>
      <c r="Q56" s="1">
        <v>3304</v>
      </c>
      <c r="R56" s="1">
        <f t="shared" si="5"/>
        <v>82600</v>
      </c>
      <c r="X56" s="3"/>
      <c r="Y56" s="3"/>
      <c r="Z56" s="3"/>
      <c r="AA56" s="3"/>
      <c r="AB56" s="3"/>
      <c r="AC56" s="3"/>
      <c r="AD56" s="3"/>
    </row>
    <row r="57" spans="1:30" ht="15" customHeight="1">
      <c r="A57" s="61" t="s">
        <v>287</v>
      </c>
      <c r="B57" s="128">
        <f>PRODUCT(SEMANAL!$D28,B$51)/400+PRODUCT(SEMANAL!$B28,B$52)/400</f>
        <v>8.3249999999999993</v>
      </c>
      <c r="C57" s="128">
        <f>PRODUCT(SEMANAL!$D28,C$51)/400+PRODUCT(SEMANAL!$B28,C$52)/400</f>
        <v>0.45</v>
      </c>
      <c r="D57" s="128">
        <f>PRODUCT(SEMANAL!$D28,D$51)/400+PRODUCT(SEMANAL!$B28,D$52)/400</f>
        <v>0.375</v>
      </c>
      <c r="E57" s="128">
        <f>PRODUCT(SEMANAL!$D28,E$51)/400+PRODUCT(SEMANAL!$B28,E$52)/400</f>
        <v>2.625</v>
      </c>
      <c r="F57" s="128">
        <f>PRODUCT(SEMANAL!$D28,F$51)/400+PRODUCT(SEMANAL!$B28,F$52)/400</f>
        <v>9.2249999999999996</v>
      </c>
      <c r="G57" s="128">
        <f>PRODUCT(SEMANAL!$D28,G$51)/400+PRODUCT(SEMANAL!$B28,G$52)/400</f>
        <v>0.22500000000000001</v>
      </c>
      <c r="H57" s="128">
        <f>PRODUCT(SEMANAL!$D28,H$51)/400+PRODUCT(SEMANAL!$B28,H$52)/400</f>
        <v>0.22500000000000001</v>
      </c>
      <c r="I57" s="128">
        <f>PRODUCT(SEMANAL!$D28,I$51)/400+PRODUCT(SEMANAL!$B28,I$52)/400</f>
        <v>0.375</v>
      </c>
      <c r="J57" s="128">
        <f>PRODUCT(SEMANAL!$D28,J$51)/400+PRODUCT(SEMANAL!$B28,J$52)/400</f>
        <v>0.3</v>
      </c>
      <c r="K57" s="128">
        <f>PRODUCT(SEMANAL!$D28,K$51)/400+PRODUCT(SEMANAL!$B28,K$52)/400</f>
        <v>0.3</v>
      </c>
      <c r="L57" s="128">
        <f>PRODUCT(SEMANAL!$D28,L$51)/400+PRODUCT(SEMANAL!$B28,L$52)/400</f>
        <v>0.9</v>
      </c>
      <c r="M57" s="128">
        <f>PRODUCT(SEMANAL!$D28,M$51)/400+PRODUCT(SEMANAL!$B28,M$52)/400</f>
        <v>9.75</v>
      </c>
      <c r="N57" s="128">
        <f>PRODUCT(SEMANAL!$D28,N$51)/400+PRODUCT(SEMANAL!$B28,N$52)/400</f>
        <v>1.8</v>
      </c>
      <c r="O57" s="128">
        <f>PRODUCT(SEMANAL!$D28,O$51)/400+PRODUCT(SEMANAL!$B28,O$52)/400</f>
        <v>12.824999999999999</v>
      </c>
      <c r="P57" s="70">
        <f>SUM('OC CACHARI 2'!B57:O57)</f>
        <v>34</v>
      </c>
      <c r="Q57" s="1">
        <v>2759</v>
      </c>
      <c r="R57" s="1">
        <f t="shared" si="5"/>
        <v>93806</v>
      </c>
      <c r="X57" s="3"/>
      <c r="Y57" s="3"/>
      <c r="Z57" s="3"/>
      <c r="AA57" s="3"/>
      <c r="AB57" s="3"/>
      <c r="AC57" s="3"/>
      <c r="AD57" s="3"/>
    </row>
    <row r="58" spans="1:30" ht="15" customHeight="1">
      <c r="A58" s="61" t="s">
        <v>288</v>
      </c>
      <c r="B58" s="128">
        <f>PRODUCT(SEMANAL!$D29,B$51)/1000+PRODUCT(SEMANAL!$B29,B$52)/1000</f>
        <v>2.2200000000000002</v>
      </c>
      <c r="C58" s="128">
        <f>PRODUCT(SEMANAL!$D29,C$51)/1000+PRODUCT(SEMANAL!$B29,C$52)/1000</f>
        <v>0.12</v>
      </c>
      <c r="D58" s="128">
        <f>PRODUCT(SEMANAL!$D29,D$51)/1000+PRODUCT(SEMANAL!$B29,D$52)/1000</f>
        <v>0.1</v>
      </c>
      <c r="E58" s="128">
        <f>PRODUCT(SEMANAL!$D29,E$51)/1000+PRODUCT(SEMANAL!$B29,E$52)/1000</f>
        <v>0.7</v>
      </c>
      <c r="F58" s="128">
        <f>PRODUCT(SEMANAL!$D29,F$51)/1000+PRODUCT(SEMANAL!$B29,F$52)/1000</f>
        <v>2.46</v>
      </c>
      <c r="G58" s="128">
        <f>PRODUCT(SEMANAL!$D29,G$51)/1000+PRODUCT(SEMANAL!$B29,G$52)/1000</f>
        <v>0.06</v>
      </c>
      <c r="H58" s="128">
        <f>PRODUCT(SEMANAL!$D29,H$51)/1000+PRODUCT(SEMANAL!$B29,H$52)/1000</f>
        <v>0.06</v>
      </c>
      <c r="I58" s="128">
        <f>PRODUCT(SEMANAL!$D29,I$51)/1000+PRODUCT(SEMANAL!$B29,I$52)/1000</f>
        <v>0.1</v>
      </c>
      <c r="J58" s="128">
        <f>PRODUCT(SEMANAL!$D29,J$51)/1000+PRODUCT(SEMANAL!$B29,J$52)/1000</f>
        <v>0.08</v>
      </c>
      <c r="K58" s="128">
        <f>PRODUCT(SEMANAL!$D29,K$51)/1000+PRODUCT(SEMANAL!$B29,K$52)/1000</f>
        <v>0.08</v>
      </c>
      <c r="L58" s="128">
        <f>PRODUCT(SEMANAL!$D29,L$51)/1000+PRODUCT(SEMANAL!$B29,L$52)/1000</f>
        <v>0.24</v>
      </c>
      <c r="M58" s="128">
        <f>PRODUCT(SEMANAL!$D29,M$51)/1000+PRODUCT(SEMANAL!$B29,M$52)/1000</f>
        <v>2.6</v>
      </c>
      <c r="N58" s="128">
        <f>PRODUCT(SEMANAL!$D29,N$51)/1000+PRODUCT(SEMANAL!$B29,N$52)/1000</f>
        <v>0.48</v>
      </c>
      <c r="O58" s="128">
        <f>PRODUCT(SEMANAL!$D29,O$51)/1000+PRODUCT(SEMANAL!$B29,O$52)/1000</f>
        <v>3.42</v>
      </c>
      <c r="P58" s="70">
        <f>SUM('OC CACHARI 2'!B58:O58)</f>
        <v>9</v>
      </c>
      <c r="Q58" s="1">
        <v>2808</v>
      </c>
      <c r="R58" s="1">
        <f t="shared" si="5"/>
        <v>25272</v>
      </c>
      <c r="X58" s="3"/>
      <c r="Y58" s="3"/>
      <c r="Z58" s="3"/>
      <c r="AA58" s="3"/>
      <c r="AB58" s="3"/>
      <c r="AC58" s="3"/>
      <c r="AD58" s="3"/>
    </row>
    <row r="59" spans="1:30" ht="15" customHeight="1">
      <c r="A59" s="61" t="s">
        <v>289</v>
      </c>
      <c r="B59" s="128">
        <f>PRODUCT(SEMANAL!$D30,B$51)/1000+PRODUCT(SEMANAL!$B30,B$52)/1000</f>
        <v>0</v>
      </c>
      <c r="C59" s="128">
        <f>PRODUCT(SEMANAL!$D30,C$51)/1000+PRODUCT(SEMANAL!$B30,C$52)/1000</f>
        <v>0</v>
      </c>
      <c r="D59" s="128">
        <f>PRODUCT(SEMANAL!$D30,D$51)/1000+PRODUCT(SEMANAL!$B30,D$52)/1000</f>
        <v>0</v>
      </c>
      <c r="E59" s="128">
        <f>PRODUCT(SEMANAL!$D30,E$51)/1000+PRODUCT(SEMANAL!$B30,E$52)/1000</f>
        <v>0</v>
      </c>
      <c r="F59" s="128">
        <f>PRODUCT(SEMANAL!$D30,F$51)/1000+PRODUCT(SEMANAL!$B30,F$52)/1000</f>
        <v>0</v>
      </c>
      <c r="G59" s="128">
        <f>PRODUCT(SEMANAL!$D30,G$51)/1000+PRODUCT(SEMANAL!$B30,G$52)/1000</f>
        <v>0</v>
      </c>
      <c r="H59" s="128">
        <f>PRODUCT(SEMANAL!$D30,H$51)/1000+PRODUCT(SEMANAL!$B30,H$52)/1000</f>
        <v>0</v>
      </c>
      <c r="I59" s="128">
        <f>PRODUCT(SEMANAL!$D30,I$51)/1000+PRODUCT(SEMANAL!$B30,I$52)/1000</f>
        <v>0.1</v>
      </c>
      <c r="J59" s="128">
        <f>PRODUCT(SEMANAL!$D30,J$51)/1000+PRODUCT(SEMANAL!$B30,J$52)/1000</f>
        <v>0</v>
      </c>
      <c r="K59" s="128">
        <f>PRODUCT(SEMANAL!$D30,K$51)/1000+PRODUCT(SEMANAL!$B30,K$52)/1000</f>
        <v>0</v>
      </c>
      <c r="L59" s="128">
        <f>PRODUCT(SEMANAL!$D30,L$51)/1000+PRODUCT(SEMANAL!$B30,L$52)/1000</f>
        <v>0.3</v>
      </c>
      <c r="M59" s="128">
        <f>PRODUCT(SEMANAL!$D30,M$51)/1000+PRODUCT(SEMANAL!$B30,M$52)/1000</f>
        <v>6.5</v>
      </c>
      <c r="N59" s="128">
        <f>PRODUCT(SEMANAL!$D30,N$51)/1000+PRODUCT(SEMANAL!$B30,N$52)/1000</f>
        <v>0.6</v>
      </c>
      <c r="O59" s="128">
        <f>PRODUCT(SEMANAL!$D30,O$51)/1000+PRODUCT(SEMANAL!$B30,O$52)/1000</f>
        <v>0</v>
      </c>
      <c r="P59" s="70">
        <f>SUM('OC CACHARI 2'!B59:O59)</f>
        <v>3</v>
      </c>
      <c r="Q59" s="1">
        <v>9900</v>
      </c>
      <c r="R59" s="1">
        <f t="shared" si="5"/>
        <v>29700</v>
      </c>
      <c r="X59" s="3"/>
      <c r="Y59" s="3"/>
      <c r="Z59" s="3"/>
      <c r="AA59" s="3"/>
      <c r="AB59" s="3"/>
      <c r="AC59" s="3"/>
      <c r="AD59" s="3"/>
    </row>
    <row r="60" spans="1:30" ht="15" customHeight="1">
      <c r="A60" s="61" t="s">
        <v>290</v>
      </c>
      <c r="B60" s="128">
        <f>PRODUCT(SEMANAL!$D31,B$51)/900+PRODUCT(SEMANAL!$B31,B$52)/900</f>
        <v>0</v>
      </c>
      <c r="C60" s="128">
        <f>PRODUCT(SEMANAL!$D31,C$51)/900+PRODUCT(SEMANAL!$B31,C$52)/900</f>
        <v>0</v>
      </c>
      <c r="D60" s="128">
        <f>PRODUCT(SEMANAL!$D31,D$51)/900+PRODUCT(SEMANAL!$B31,D$52)/900</f>
        <v>0</v>
      </c>
      <c r="E60" s="128">
        <f>PRODUCT(SEMANAL!$D31,E$51)/900+PRODUCT(SEMANAL!$B31,E$52)/900</f>
        <v>0</v>
      </c>
      <c r="F60" s="128">
        <f>PRODUCT(SEMANAL!$D31,F$51)/900+PRODUCT(SEMANAL!$B31,F$52)/900</f>
        <v>0</v>
      </c>
      <c r="G60" s="128">
        <f>PRODUCT(SEMANAL!$D31,G$51)/900+PRODUCT(SEMANAL!$B31,G$52)/900</f>
        <v>0</v>
      </c>
      <c r="H60" s="128">
        <f>PRODUCT(SEMANAL!$D31,H$51)/900+PRODUCT(SEMANAL!$B31,H$52)/900</f>
        <v>0</v>
      </c>
      <c r="I60" s="128">
        <f>PRODUCT(SEMANAL!$D31,I$51)/900+PRODUCT(SEMANAL!$B31,I$52)/900</f>
        <v>6.6666666666666666E-2</v>
      </c>
      <c r="J60" s="128">
        <f>PRODUCT(SEMANAL!$D31,J$51)/900+PRODUCT(SEMANAL!$B31,J$52)/900</f>
        <v>0</v>
      </c>
      <c r="K60" s="128">
        <f>PRODUCT(SEMANAL!$D31,K$51)/900+PRODUCT(SEMANAL!$B31,K$52)/900</f>
        <v>0</v>
      </c>
      <c r="L60" s="128">
        <f>PRODUCT(SEMANAL!$D31,L$51)/900+PRODUCT(SEMANAL!$B31,L$52)/900</f>
        <v>0.2</v>
      </c>
      <c r="M60" s="128">
        <f>PRODUCT(SEMANAL!$D31,M$51)/900+PRODUCT(SEMANAL!$B31,M$52)/900</f>
        <v>4.333333333333333</v>
      </c>
      <c r="N60" s="128">
        <f>PRODUCT(SEMANAL!$D31,N$51)/900+PRODUCT(SEMANAL!$B31,N$52)/900</f>
        <v>0.4</v>
      </c>
      <c r="O60" s="128">
        <f>PRODUCT(SEMANAL!$D31,O$51)/900+PRODUCT(SEMANAL!$B31,O$52)/900</f>
        <v>0</v>
      </c>
      <c r="P60" s="70">
        <f>SUM('OC CACHARI 2'!B60:O60)</f>
        <v>5</v>
      </c>
      <c r="Q60" s="1">
        <v>3965</v>
      </c>
      <c r="R60" s="1">
        <f t="shared" si="5"/>
        <v>19825</v>
      </c>
      <c r="X60" s="3"/>
      <c r="Y60" s="3"/>
      <c r="Z60" s="3"/>
      <c r="AA60" s="3"/>
      <c r="AB60" s="3"/>
      <c r="AC60" s="3"/>
      <c r="AD60" s="3"/>
    </row>
    <row r="61" spans="1:30" ht="15" customHeight="1">
      <c r="A61" s="61" t="s">
        <v>291</v>
      </c>
      <c r="B61" s="128">
        <f>PRODUCT(SEMANAL!$D32,B$51)/1000+PRODUCT(SEMANAL!$B32,B$52)/1000</f>
        <v>0</v>
      </c>
      <c r="C61" s="128">
        <f>PRODUCT(SEMANAL!$D32,C$51)/1000+PRODUCT(SEMANAL!$B32,C$52)/1000</f>
        <v>0</v>
      </c>
      <c r="D61" s="128">
        <f>PRODUCT(SEMANAL!$D32,D$51)/1000+PRODUCT(SEMANAL!$B32,D$52)/1000</f>
        <v>0</v>
      </c>
      <c r="E61" s="128">
        <f>PRODUCT(SEMANAL!$D32,E$51)/1000+PRODUCT(SEMANAL!$B32,E$52)/1000</f>
        <v>0</v>
      </c>
      <c r="F61" s="128">
        <f>PRODUCT(SEMANAL!$D32,F$51)/1000+PRODUCT(SEMANAL!$B32,F$52)/1000</f>
        <v>0</v>
      </c>
      <c r="G61" s="128">
        <f>PRODUCT(SEMANAL!$D32,G$51)/1000+PRODUCT(SEMANAL!$B32,G$52)/1000</f>
        <v>0</v>
      </c>
      <c r="H61" s="128">
        <f>PRODUCT(SEMANAL!$D32,H$51)/1000+PRODUCT(SEMANAL!$B32,H$52)/1000</f>
        <v>0</v>
      </c>
      <c r="I61" s="128">
        <f>PRODUCT(SEMANAL!$D32,I$51)/1000+PRODUCT(SEMANAL!$B32,I$52)/1000</f>
        <v>0.16</v>
      </c>
      <c r="J61" s="128">
        <f>PRODUCT(SEMANAL!$D32,J$51)/1000+PRODUCT(SEMANAL!$B32,J$52)/1000</f>
        <v>0</v>
      </c>
      <c r="K61" s="128">
        <f>PRODUCT(SEMANAL!$D32,K$51)/1000+PRODUCT(SEMANAL!$B32,K$52)/1000</f>
        <v>0</v>
      </c>
      <c r="L61" s="128">
        <f>PRODUCT(SEMANAL!$D32,L$51)/1000+PRODUCT(SEMANAL!$B32,L$52)/1000</f>
        <v>0.48</v>
      </c>
      <c r="M61" s="128">
        <f>PRODUCT(SEMANAL!$D32,M$51)/1000+PRODUCT(SEMANAL!$B32,M$52)/1000</f>
        <v>10.4</v>
      </c>
      <c r="N61" s="128">
        <f>PRODUCT(SEMANAL!$D32,N$51)/1000+PRODUCT(SEMANAL!$B32,N$52)/1000</f>
        <v>0.96</v>
      </c>
      <c r="O61" s="128">
        <f>PRODUCT(SEMANAL!$D32,O$51)/1000+PRODUCT(SEMANAL!$B32,O$52)/1000</f>
        <v>0</v>
      </c>
      <c r="P61" s="70">
        <f>SUM('OC CACHARI 2'!B61:O61)</f>
        <v>14</v>
      </c>
      <c r="Q61" s="1">
        <v>1487</v>
      </c>
      <c r="R61" s="1">
        <f t="shared" si="5"/>
        <v>20818</v>
      </c>
      <c r="X61" s="3"/>
      <c r="Y61" s="3"/>
      <c r="Z61" s="3"/>
      <c r="AA61" s="3"/>
      <c r="AB61" s="3"/>
      <c r="AC61" s="3"/>
      <c r="AD61" s="3"/>
    </row>
    <row r="62" spans="1:30" ht="15" customHeight="1">
      <c r="A62" s="61" t="s">
        <v>292</v>
      </c>
      <c r="B62" s="128">
        <f>PRODUCT(SEMANAL!$D33,B$51)/340+PRODUCT(SEMANAL!$B33,B$52)/340</f>
        <v>0</v>
      </c>
      <c r="C62" s="128">
        <f>PRODUCT(SEMANAL!$D33,C$51)/340+PRODUCT(SEMANAL!$B33,C$52)/340</f>
        <v>0</v>
      </c>
      <c r="D62" s="128">
        <f>PRODUCT(SEMANAL!$D33,D$51)/340+PRODUCT(SEMANAL!$B33,D$52)/340</f>
        <v>0</v>
      </c>
      <c r="E62" s="128">
        <f>PRODUCT(SEMANAL!$D33,E$51)/340+PRODUCT(SEMANAL!$B33,E$52)/340</f>
        <v>0</v>
      </c>
      <c r="F62" s="128">
        <f>PRODUCT(SEMANAL!$D33,F$51)/340+PRODUCT(SEMANAL!$B33,F$52)/340</f>
        <v>0</v>
      </c>
      <c r="G62" s="128">
        <f>PRODUCT(SEMANAL!$D33,G$51)/340+PRODUCT(SEMANAL!$B33,G$52)/340</f>
        <v>0</v>
      </c>
      <c r="H62" s="128">
        <f>PRODUCT(SEMANAL!$D33,H$51)/340+PRODUCT(SEMANAL!$B33,H$52)/340</f>
        <v>0</v>
      </c>
      <c r="I62" s="128">
        <f>PRODUCT(SEMANAL!$D33,I$51)/340+PRODUCT(SEMANAL!$B33,I$52)/340</f>
        <v>0</v>
      </c>
      <c r="J62" s="128">
        <f>PRODUCT(SEMANAL!$D33,J$51)/340+PRODUCT(SEMANAL!$B33,J$52)/340</f>
        <v>0</v>
      </c>
      <c r="K62" s="128">
        <f>PRODUCT(SEMANAL!$D33,K$51)/340+PRODUCT(SEMANAL!$B33,K$52)/340</f>
        <v>0</v>
      </c>
      <c r="L62" s="128">
        <f>PRODUCT(SEMANAL!$D33,L$51)/340+PRODUCT(SEMANAL!$B33,L$52)/340</f>
        <v>0</v>
      </c>
      <c r="M62" s="128">
        <f>PRODUCT(SEMANAL!$D33,M$51)/340+PRODUCT(SEMANAL!$B33,M$52)/340</f>
        <v>0</v>
      </c>
      <c r="N62" s="128">
        <f>PRODUCT(SEMANAL!$D33,N$51)/340+PRODUCT(SEMANAL!$B33,N$52)/340</f>
        <v>0</v>
      </c>
      <c r="O62" s="128">
        <f>PRODUCT(SEMANAL!$D33,O$51)/340+PRODUCT(SEMANAL!$B33,O$52)/340</f>
        <v>0</v>
      </c>
      <c r="P62" s="70">
        <f>SUM('OC CACHARI 2'!B62:O62)</f>
        <v>0</v>
      </c>
      <c r="Q62" s="1">
        <v>743</v>
      </c>
      <c r="R62" s="1">
        <f t="shared" si="5"/>
        <v>0</v>
      </c>
      <c r="X62" s="3"/>
      <c r="Y62" s="3"/>
      <c r="Z62" s="3"/>
      <c r="AA62" s="3"/>
      <c r="AB62" s="3"/>
      <c r="AC62" s="3"/>
      <c r="AD62" s="3"/>
    </row>
    <row r="63" spans="1:30" ht="15" customHeight="1">
      <c r="A63" s="61" t="s">
        <v>293</v>
      </c>
      <c r="B63" s="128">
        <f>PRODUCT(SEMANAL!$D34,B$51)/350+PRODUCT(SEMANAL!$B34,B$52)/350</f>
        <v>0</v>
      </c>
      <c r="C63" s="128">
        <f>PRODUCT(SEMANAL!$D34,C$51)/350+PRODUCT(SEMANAL!$B34,C$52)/350</f>
        <v>0</v>
      </c>
      <c r="D63" s="128">
        <f>PRODUCT(SEMANAL!$D34,D$51)/350+PRODUCT(SEMANAL!$B34,D$52)/350</f>
        <v>0</v>
      </c>
      <c r="E63" s="128">
        <f>PRODUCT(SEMANAL!$D34,E$51)/350+PRODUCT(SEMANAL!$B34,E$52)/350</f>
        <v>0</v>
      </c>
      <c r="F63" s="128">
        <f>PRODUCT(SEMANAL!$D34,F$51)/350+PRODUCT(SEMANAL!$B34,F$52)/350</f>
        <v>0</v>
      </c>
      <c r="G63" s="128">
        <f>PRODUCT(SEMANAL!$D34,G$51)/350+PRODUCT(SEMANAL!$B34,G$52)/350</f>
        <v>0</v>
      </c>
      <c r="H63" s="128">
        <f>PRODUCT(SEMANAL!$D34,H$51)/350+PRODUCT(SEMANAL!$B34,H$52)/350</f>
        <v>0</v>
      </c>
      <c r="I63" s="128">
        <f>PRODUCT(SEMANAL!$D34,I$51)/350+PRODUCT(SEMANAL!$B34,I$52)/350</f>
        <v>0.22857142857142856</v>
      </c>
      <c r="J63" s="128">
        <f>PRODUCT(SEMANAL!$D34,J$51)/350+PRODUCT(SEMANAL!$B34,J$52)/350</f>
        <v>0</v>
      </c>
      <c r="K63" s="128">
        <f>PRODUCT(SEMANAL!$D34,K$51)/350+PRODUCT(SEMANAL!$B34,K$52)/350</f>
        <v>0</v>
      </c>
      <c r="L63" s="128">
        <f>PRODUCT(SEMANAL!$D34,L$51)/350+PRODUCT(SEMANAL!$B34,L$52)/350</f>
        <v>0.68571428571428572</v>
      </c>
      <c r="M63" s="128">
        <f>PRODUCT(SEMANAL!$D34,M$51)/350+PRODUCT(SEMANAL!$B34,M$52)/350</f>
        <v>14.857142857142858</v>
      </c>
      <c r="N63" s="128">
        <f>PRODUCT(SEMANAL!$D34,N$51)/350+PRODUCT(SEMANAL!$B34,N$52)/350</f>
        <v>1.3714285714285714</v>
      </c>
      <c r="O63" s="128">
        <f>PRODUCT(SEMANAL!$D34,O$51)/350+PRODUCT(SEMANAL!$B34,O$52)/350</f>
        <v>0</v>
      </c>
      <c r="P63" s="70">
        <f>SUM('OC CACHARI 2'!B63:O63)</f>
        <v>14</v>
      </c>
      <c r="Q63" s="1">
        <v>1239</v>
      </c>
      <c r="R63" s="1">
        <f t="shared" si="5"/>
        <v>17346</v>
      </c>
      <c r="X63" s="3"/>
      <c r="Y63" s="3"/>
      <c r="Z63" s="3"/>
      <c r="AA63" s="3"/>
      <c r="AB63" s="3"/>
      <c r="AC63" s="3"/>
      <c r="AD63" s="3"/>
    </row>
    <row r="64" spans="1:30" ht="15" customHeight="1">
      <c r="A64" s="61" t="s">
        <v>294</v>
      </c>
      <c r="B64" s="128">
        <f>PRODUCT(SEMANAL!$D35,B$51)/25+PRODUCT(SEMANAL!$B35,B$52)/25</f>
        <v>0</v>
      </c>
      <c r="C64" s="128">
        <f>PRODUCT(SEMANAL!$D35,C$51)/25+PRODUCT(SEMANAL!$B35,C$52)/25</f>
        <v>0</v>
      </c>
      <c r="D64" s="128">
        <f>PRODUCT(SEMANAL!$D35,D$51)/25+PRODUCT(SEMANAL!$B35,D$52)/25</f>
        <v>0</v>
      </c>
      <c r="E64" s="128">
        <f>PRODUCT(SEMANAL!$D35,E$51)/25+PRODUCT(SEMANAL!$B35,E$52)/25</f>
        <v>0</v>
      </c>
      <c r="F64" s="128">
        <f>PRODUCT(SEMANAL!$D35,F$51)/25+PRODUCT(SEMANAL!$B35,F$52)/25</f>
        <v>0</v>
      </c>
      <c r="G64" s="128">
        <f>PRODUCT(SEMANAL!$D35,G$51)/25+PRODUCT(SEMANAL!$B35,G$52)/25</f>
        <v>0</v>
      </c>
      <c r="H64" s="128">
        <f>PRODUCT(SEMANAL!$D35,H$51)/25+PRODUCT(SEMANAL!$B35,H$52)/25</f>
        <v>0</v>
      </c>
      <c r="I64" s="128">
        <f>PRODUCT(SEMANAL!$D35,I$51)/25+PRODUCT(SEMANAL!$B35,I$52)/25</f>
        <v>0</v>
      </c>
      <c r="J64" s="128">
        <f>PRODUCT(SEMANAL!$D35,J$51)/25+PRODUCT(SEMANAL!$B35,J$52)/25</f>
        <v>0</v>
      </c>
      <c r="K64" s="128">
        <f>PRODUCT(SEMANAL!$D35,K$51)/25+PRODUCT(SEMANAL!$B35,K$52)/25</f>
        <v>0</v>
      </c>
      <c r="L64" s="128">
        <f>PRODUCT(SEMANAL!$D35,L$51)/25+PRODUCT(SEMANAL!$B35,L$52)/25</f>
        <v>0</v>
      </c>
      <c r="M64" s="128">
        <f>PRODUCT(SEMANAL!$D35,M$51)/25+PRODUCT(SEMANAL!$B35,M$52)/25</f>
        <v>0</v>
      </c>
      <c r="N64" s="128">
        <f>PRODUCT(SEMANAL!$D35,N$51)/25+PRODUCT(SEMANAL!$B35,N$52)/25</f>
        <v>0</v>
      </c>
      <c r="O64" s="128">
        <f>PRODUCT(SEMANAL!$D35,O$51)/25+PRODUCT(SEMANAL!$B35,O$52)/25</f>
        <v>0</v>
      </c>
      <c r="P64" s="70">
        <f>SUM('OC CACHARI 2'!B64:O64)</f>
        <v>0</v>
      </c>
      <c r="Q64" s="1">
        <v>1090</v>
      </c>
      <c r="R64" s="1">
        <f t="shared" si="5"/>
        <v>0</v>
      </c>
      <c r="X64" s="3"/>
      <c r="Y64" s="3"/>
      <c r="Z64" s="3"/>
      <c r="AA64" s="3"/>
      <c r="AB64" s="3"/>
      <c r="AC64" s="3"/>
      <c r="AD64" s="3"/>
    </row>
    <row r="65" spans="1:30" ht="15" customHeight="1">
      <c r="A65" s="61" t="s">
        <v>295</v>
      </c>
      <c r="B65" s="128">
        <f>PRODUCT(SEMANAL!$D36,B$51)/25+PRODUCT(SEMANAL!$B36,B$52)/25</f>
        <v>0</v>
      </c>
      <c r="C65" s="128">
        <f>PRODUCT(SEMANAL!$D36,C$51)/25+PRODUCT(SEMANAL!$B36,C$52)/25</f>
        <v>0</v>
      </c>
      <c r="D65" s="128">
        <f>PRODUCT(SEMANAL!$D36,D$51)/25+PRODUCT(SEMANAL!$B36,D$52)/25</f>
        <v>0</v>
      </c>
      <c r="E65" s="128">
        <f>PRODUCT(SEMANAL!$D36,E$51)/25+PRODUCT(SEMANAL!$B36,E$52)/25</f>
        <v>0</v>
      </c>
      <c r="F65" s="128">
        <f>PRODUCT(SEMANAL!$D36,F$51)/25+PRODUCT(SEMANAL!$B36,F$52)/25</f>
        <v>0</v>
      </c>
      <c r="G65" s="128">
        <f>PRODUCT(SEMANAL!$D36,G$51)/25+PRODUCT(SEMANAL!$B36,G$52)/25</f>
        <v>0</v>
      </c>
      <c r="H65" s="128">
        <f>PRODUCT(SEMANAL!$D36,H$51)/25+PRODUCT(SEMANAL!$B36,H$52)/25</f>
        <v>0</v>
      </c>
      <c r="I65" s="128">
        <f>PRODUCT(SEMANAL!$D36,I$51)/25+PRODUCT(SEMANAL!$B36,I$52)/25</f>
        <v>0</v>
      </c>
      <c r="J65" s="128">
        <f>PRODUCT(SEMANAL!$D36,J$51)/25+PRODUCT(SEMANAL!$B36,J$52)/25</f>
        <v>0</v>
      </c>
      <c r="K65" s="128">
        <f>PRODUCT(SEMANAL!$D36,K$51)/25+PRODUCT(SEMANAL!$B36,K$52)/25</f>
        <v>0</v>
      </c>
      <c r="L65" s="128">
        <f>PRODUCT(SEMANAL!$D36,L$51)/25+PRODUCT(SEMANAL!$B36,L$52)/25</f>
        <v>0</v>
      </c>
      <c r="M65" s="128">
        <f>PRODUCT(SEMANAL!$D36,M$51)/25+PRODUCT(SEMANAL!$B36,M$52)/25</f>
        <v>0</v>
      </c>
      <c r="N65" s="128">
        <f>PRODUCT(SEMANAL!$D36,N$51)/25+PRODUCT(SEMANAL!$B36,N$52)/25</f>
        <v>0</v>
      </c>
      <c r="O65" s="128">
        <f>PRODUCT(SEMANAL!$D36,O$51)/25+PRODUCT(SEMANAL!$B36,O$52)/25</f>
        <v>0</v>
      </c>
      <c r="P65" s="70">
        <f>SUM('OC CACHARI 2'!B65:O65)</f>
        <v>0</v>
      </c>
      <c r="Q65" s="1">
        <v>1090</v>
      </c>
      <c r="R65" s="1">
        <f t="shared" si="5"/>
        <v>0</v>
      </c>
      <c r="X65" s="3"/>
      <c r="Y65" s="3"/>
      <c r="Z65" s="3"/>
      <c r="AA65" s="3"/>
      <c r="AB65" s="3"/>
      <c r="AC65" s="3"/>
      <c r="AD65" s="3"/>
    </row>
    <row r="66" spans="1:30" ht="15" customHeight="1">
      <c r="A66" s="61" t="s">
        <v>105</v>
      </c>
      <c r="B66" s="128">
        <f>PRODUCT(SEMANAL!$D37,B$51)/25+PRODUCT(SEMANAL!$B37,B$52)/25</f>
        <v>0</v>
      </c>
      <c r="C66" s="128">
        <f>PRODUCT(SEMANAL!$D37,C$51)/25+PRODUCT(SEMANAL!$B37,C$52)/25</f>
        <v>0</v>
      </c>
      <c r="D66" s="128">
        <f>PRODUCT(SEMANAL!$D37,D$51)/25+PRODUCT(SEMANAL!$B37,D$52)/25</f>
        <v>0</v>
      </c>
      <c r="E66" s="128">
        <f>PRODUCT(SEMANAL!$D37,E$51)/25+PRODUCT(SEMANAL!$B37,E$52)/25</f>
        <v>0</v>
      </c>
      <c r="F66" s="128">
        <f>PRODUCT(SEMANAL!$D37,F$51)/25+PRODUCT(SEMANAL!$B37,F$52)/25</f>
        <v>0</v>
      </c>
      <c r="G66" s="128">
        <f>PRODUCT(SEMANAL!$D37,G$51)/25+PRODUCT(SEMANAL!$B37,G$52)/25</f>
        <v>0</v>
      </c>
      <c r="H66" s="128">
        <f>PRODUCT(SEMANAL!$D37,H$51)/25+PRODUCT(SEMANAL!$B37,H$52)/25</f>
        <v>0</v>
      </c>
      <c r="I66" s="128">
        <f>PRODUCT(SEMANAL!$D37,I$51)/25+PRODUCT(SEMANAL!$B37,I$52)/25</f>
        <v>0.12</v>
      </c>
      <c r="J66" s="128">
        <f>PRODUCT(SEMANAL!$D37,J$51)/25+PRODUCT(SEMANAL!$B37,J$52)/25</f>
        <v>0</v>
      </c>
      <c r="K66" s="128">
        <f>PRODUCT(SEMANAL!$D37,K$51)/25+PRODUCT(SEMANAL!$B37,K$52)/25</f>
        <v>0</v>
      </c>
      <c r="L66" s="128">
        <f>PRODUCT(SEMANAL!$D37,L$51)/25+PRODUCT(SEMANAL!$B37,L$52)/25</f>
        <v>0.36</v>
      </c>
      <c r="M66" s="128">
        <f>PRODUCT(SEMANAL!$D37,M$51)/25+PRODUCT(SEMANAL!$B37,M$52)/25</f>
        <v>7.8</v>
      </c>
      <c r="N66" s="128">
        <f>PRODUCT(SEMANAL!$D37,N$51)/25+PRODUCT(SEMANAL!$B37,N$52)/25</f>
        <v>0.72</v>
      </c>
      <c r="O66" s="128">
        <f>PRODUCT(SEMANAL!$D37,O$51)/25+PRODUCT(SEMANAL!$B37,O$52)/25</f>
        <v>0</v>
      </c>
      <c r="P66" s="70">
        <f>SUM('OC CACHARI 2'!B66:O66)</f>
        <v>3</v>
      </c>
      <c r="Q66" s="1">
        <v>1090</v>
      </c>
      <c r="R66" s="1">
        <f t="shared" si="5"/>
        <v>3270</v>
      </c>
      <c r="X66" s="3"/>
      <c r="Y66" s="3"/>
      <c r="Z66" s="3"/>
      <c r="AA66" s="3"/>
      <c r="AB66" s="3"/>
      <c r="AC66" s="3"/>
      <c r="AD66" s="3"/>
    </row>
    <row r="67" spans="1:30" ht="15" customHeight="1">
      <c r="A67" s="61" t="s">
        <v>296</v>
      </c>
      <c r="B67" s="128">
        <f>PRODUCT(SEMANAL!$D38,B$51)/500+PRODUCT(SEMANAL!$B38,B$52)/500</f>
        <v>0</v>
      </c>
      <c r="C67" s="128">
        <f>PRODUCT(SEMANAL!$D38,C$51)/500+PRODUCT(SEMANAL!$B38,C$52)/500</f>
        <v>0</v>
      </c>
      <c r="D67" s="128">
        <f>PRODUCT(SEMANAL!$D38,D$51)/500+PRODUCT(SEMANAL!$B38,D$52)/500</f>
        <v>0</v>
      </c>
      <c r="E67" s="128">
        <f>PRODUCT(SEMANAL!$D38,E$51)/500+PRODUCT(SEMANAL!$B38,E$52)/500</f>
        <v>0</v>
      </c>
      <c r="F67" s="128">
        <f>PRODUCT(SEMANAL!$D38,F$51)/500+PRODUCT(SEMANAL!$B38,F$52)/500</f>
        <v>0</v>
      </c>
      <c r="G67" s="128">
        <f>PRODUCT(SEMANAL!$D38,G$51)/500+PRODUCT(SEMANAL!$B38,G$52)/500</f>
        <v>0</v>
      </c>
      <c r="H67" s="128">
        <f>PRODUCT(SEMANAL!$D38,H$51)/500+PRODUCT(SEMANAL!$B38,H$52)/500</f>
        <v>0</v>
      </c>
      <c r="I67" s="128">
        <f>PRODUCT(SEMANAL!$D38,I$51)/500+PRODUCT(SEMANAL!$B38,I$52)/500</f>
        <v>6.0000000000000001E-3</v>
      </c>
      <c r="J67" s="128">
        <f>PRODUCT(SEMANAL!$D38,J$51)/500+PRODUCT(SEMANAL!$B38,J$52)/500</f>
        <v>0</v>
      </c>
      <c r="K67" s="128">
        <f>PRODUCT(SEMANAL!$D38,K$51)/500+PRODUCT(SEMANAL!$B38,K$52)/500</f>
        <v>0</v>
      </c>
      <c r="L67" s="128">
        <f>PRODUCT(SEMANAL!$D38,L$51)/500+PRODUCT(SEMANAL!$B38,L$52)/500</f>
        <v>1.7999999999999999E-2</v>
      </c>
      <c r="M67" s="128">
        <f>PRODUCT(SEMANAL!$D38,M$51)/500+PRODUCT(SEMANAL!$B38,M$52)/500</f>
        <v>0.39</v>
      </c>
      <c r="N67" s="128">
        <f>PRODUCT(SEMANAL!$D38,N$51)/500+PRODUCT(SEMANAL!$B38,N$52)/500</f>
        <v>3.5999999999999997E-2</v>
      </c>
      <c r="O67" s="128">
        <f>PRODUCT(SEMANAL!$D38,O$51)/500+PRODUCT(SEMANAL!$B38,O$52)/500</f>
        <v>0</v>
      </c>
      <c r="P67" s="70">
        <f>SUM('OC CACHARI 2'!B67:O67)</f>
        <v>4</v>
      </c>
      <c r="Q67" s="1">
        <v>760</v>
      </c>
      <c r="R67" s="1">
        <f t="shared" si="5"/>
        <v>3040</v>
      </c>
      <c r="X67" s="3"/>
      <c r="Y67" s="3"/>
      <c r="Z67" s="3"/>
      <c r="AA67" s="3"/>
      <c r="AB67" s="3"/>
      <c r="AC67" s="3"/>
      <c r="AD67" s="3"/>
    </row>
    <row r="68" spans="1:30" ht="15" customHeight="1">
      <c r="A68" s="61" t="s">
        <v>297</v>
      </c>
      <c r="B68" s="128">
        <f>PRODUCT(SEMANAL!$D39,B$51)/500+PRODUCT(SEMANAL!$B39,B$52)/500</f>
        <v>0</v>
      </c>
      <c r="C68" s="128">
        <f>PRODUCT(SEMANAL!$D39,C$51)/500+PRODUCT(SEMANAL!$B39,C$52)/500</f>
        <v>0</v>
      </c>
      <c r="D68" s="128">
        <f>PRODUCT(SEMANAL!$D39,D$51)/500+PRODUCT(SEMANAL!$B39,D$52)/500</f>
        <v>0</v>
      </c>
      <c r="E68" s="128">
        <f>PRODUCT(SEMANAL!$D39,E$51)/500+PRODUCT(SEMANAL!$B39,E$52)/500</f>
        <v>0</v>
      </c>
      <c r="F68" s="128">
        <f>PRODUCT(SEMANAL!$D39,F$51)/500+PRODUCT(SEMANAL!$B39,F$52)/500</f>
        <v>0</v>
      </c>
      <c r="G68" s="128">
        <f>PRODUCT(SEMANAL!$D39,G$51)/500+PRODUCT(SEMANAL!$B39,G$52)/500</f>
        <v>0</v>
      </c>
      <c r="H68" s="128">
        <f>PRODUCT(SEMANAL!$D39,H$51)/500+PRODUCT(SEMANAL!$B39,H$52)/500</f>
        <v>0</v>
      </c>
      <c r="I68" s="128">
        <f>PRODUCT(SEMANAL!$D39,I$51)/500+PRODUCT(SEMANAL!$B39,I$52)/500</f>
        <v>0.28000000000000003</v>
      </c>
      <c r="J68" s="128">
        <f>PRODUCT(SEMANAL!$D39,J$51)/500+PRODUCT(SEMANAL!$B39,J$52)/500</f>
        <v>0</v>
      </c>
      <c r="K68" s="128">
        <f>PRODUCT(SEMANAL!$D39,K$51)/500+PRODUCT(SEMANAL!$B39,K$52)/500</f>
        <v>0</v>
      </c>
      <c r="L68" s="128">
        <f>PRODUCT(SEMANAL!$D39,L$51)/500+PRODUCT(SEMANAL!$B39,L$52)/500</f>
        <v>0.84</v>
      </c>
      <c r="M68" s="128">
        <f>PRODUCT(SEMANAL!$D39,M$51)/500+PRODUCT(SEMANAL!$B39,M$52)/500</f>
        <v>18.2</v>
      </c>
      <c r="N68" s="128">
        <f>PRODUCT(SEMANAL!$D39,N$51)/500+PRODUCT(SEMANAL!$B39,N$52)/500</f>
        <v>1.68</v>
      </c>
      <c r="O68" s="128">
        <f>PRODUCT(SEMANAL!$D39,O$51)/500+PRODUCT(SEMANAL!$B39,O$52)/500</f>
        <v>0</v>
      </c>
      <c r="P68" s="70">
        <f>SUM('OC CACHARI 2'!B68:O68)</f>
        <v>23</v>
      </c>
      <c r="Q68" s="1">
        <v>1013</v>
      </c>
      <c r="R68" s="1">
        <f t="shared" si="5"/>
        <v>23299</v>
      </c>
      <c r="X68" s="3"/>
      <c r="Y68" s="3"/>
      <c r="Z68" s="3"/>
      <c r="AA68" s="3"/>
      <c r="AB68" s="3"/>
      <c r="AC68" s="3"/>
      <c r="AD68" s="3"/>
    </row>
    <row r="69" spans="1:30" ht="15" customHeight="1">
      <c r="A69" s="61" t="s">
        <v>298</v>
      </c>
      <c r="B69" s="129">
        <f>PRODUCT(SEMANAL!$D40,B$51)/500+PRODUCT(SEMANAL!$B40,B$52)/500</f>
        <v>0</v>
      </c>
      <c r="C69" s="129">
        <f>PRODUCT(SEMANAL!$D40,C$51)/500+PRODUCT(SEMANAL!$B40,C$52)/500</f>
        <v>0</v>
      </c>
      <c r="D69" s="129">
        <f>PRODUCT(SEMANAL!$D40,D$51)/500+PRODUCT(SEMANAL!$B40,D$52)/500</f>
        <v>0</v>
      </c>
      <c r="E69" s="129">
        <f>PRODUCT(SEMANAL!$D40,E$51)/500+PRODUCT(SEMANAL!$B40,E$52)/500</f>
        <v>0</v>
      </c>
      <c r="F69" s="129">
        <f>PRODUCT(SEMANAL!$D40,F$51)/500+PRODUCT(SEMANAL!$B40,F$52)/500</f>
        <v>0</v>
      </c>
      <c r="G69" s="129">
        <f>PRODUCT(SEMANAL!$D40,G$51)/500+PRODUCT(SEMANAL!$B40,G$52)/500</f>
        <v>0</v>
      </c>
      <c r="H69" s="129">
        <f>PRODUCT(SEMANAL!$D40,H$51)/500+PRODUCT(SEMANAL!$B40,H$52)/500</f>
        <v>0</v>
      </c>
      <c r="I69" s="129">
        <f>PRODUCT(SEMANAL!$D40,I$51)/500+PRODUCT(SEMANAL!$B40,I$52)/500</f>
        <v>0.18</v>
      </c>
      <c r="J69" s="129">
        <f>PRODUCT(SEMANAL!$D40,J$51)/500+PRODUCT(SEMANAL!$B40,J$52)/500</f>
        <v>0</v>
      </c>
      <c r="K69" s="129">
        <f>PRODUCT(SEMANAL!$D40,K$51)/500+PRODUCT(SEMANAL!$B40,K$52)/500</f>
        <v>0</v>
      </c>
      <c r="L69" s="129">
        <f>PRODUCT(SEMANAL!$D40,L$51)/500+PRODUCT(SEMANAL!$B40,L$52)/500</f>
        <v>0.54</v>
      </c>
      <c r="M69" s="129">
        <f>PRODUCT(SEMANAL!$D40,M$51)/500+PRODUCT(SEMANAL!$B40,M$52)/500</f>
        <v>11.7</v>
      </c>
      <c r="N69" s="129">
        <f>PRODUCT(SEMANAL!$D40,N$51)/500+PRODUCT(SEMANAL!$B40,N$52)/500</f>
        <v>1.08</v>
      </c>
      <c r="O69" s="129">
        <f>PRODUCT(SEMANAL!$D40,O$51)/500+PRODUCT(SEMANAL!$B40,O$52)/500</f>
        <v>0</v>
      </c>
      <c r="P69" s="131">
        <f>SUM('OC CACHARI 2'!B69:O69)</f>
        <v>4</v>
      </c>
      <c r="Q69" s="1">
        <v>1156</v>
      </c>
      <c r="R69" s="1">
        <f t="shared" si="5"/>
        <v>4624</v>
      </c>
      <c r="X69" s="3"/>
      <c r="Y69" s="3"/>
      <c r="Z69" s="3"/>
      <c r="AA69" s="3"/>
      <c r="AB69" s="3"/>
      <c r="AC69" s="3"/>
      <c r="AD69" s="3"/>
    </row>
    <row r="70" spans="1:30" ht="15" customHeight="1">
      <c r="A70" s="61" t="s">
        <v>109</v>
      </c>
      <c r="B70" s="129">
        <f>PRODUCT(SEMANAL!$D41,B$51)/1000+PRODUCT(SEMANAL!$B41,B$52)/1000</f>
        <v>0</v>
      </c>
      <c r="C70" s="129">
        <f>PRODUCT(SEMANAL!$D41,C$51)/1000+PRODUCT(SEMANAL!$B41,C$52)/1000</f>
        <v>0</v>
      </c>
      <c r="D70" s="129">
        <f>PRODUCT(SEMANAL!$D41,D$51)/1000+PRODUCT(SEMANAL!$B41,D$52)/1000</f>
        <v>0</v>
      </c>
      <c r="E70" s="129">
        <f>PRODUCT(SEMANAL!$D41,E$51)/1000+PRODUCT(SEMANAL!$B41,E$52)/1000</f>
        <v>0</v>
      </c>
      <c r="F70" s="129">
        <f>PRODUCT(SEMANAL!$D41,F$51)/1000+PRODUCT(SEMANAL!$B41,F$52)/1000</f>
        <v>0</v>
      </c>
      <c r="G70" s="129">
        <f>PRODUCT(SEMANAL!$D41,G$51)/1000+PRODUCT(SEMANAL!$B41,G$52)/1000</f>
        <v>0</v>
      </c>
      <c r="H70" s="129">
        <f>PRODUCT(SEMANAL!$D41,H$51)/1000+PRODUCT(SEMANAL!$B41,H$52)/1000</f>
        <v>0</v>
      </c>
      <c r="I70" s="129">
        <f>PRODUCT(SEMANAL!$D41,I$51)/1000+PRODUCT(SEMANAL!$B41,I$52)/1000</f>
        <v>7.0000000000000007E-2</v>
      </c>
      <c r="J70" s="129">
        <f>PRODUCT(SEMANAL!$D41,J$51)/1000+PRODUCT(SEMANAL!$B41,J$52)/1000</f>
        <v>0</v>
      </c>
      <c r="K70" s="129">
        <f>PRODUCT(SEMANAL!$D41,K$51)/1000+PRODUCT(SEMANAL!$B41,K$52)/1000</f>
        <v>0</v>
      </c>
      <c r="L70" s="129">
        <f>PRODUCT(SEMANAL!$D41,L$51)/1000+PRODUCT(SEMANAL!$B41,L$52)/1000</f>
        <v>0.21</v>
      </c>
      <c r="M70" s="129">
        <f>PRODUCT(SEMANAL!$D41,M$51)/1000+PRODUCT(SEMANAL!$B41,M$52)/1000</f>
        <v>4.55</v>
      </c>
      <c r="N70" s="129">
        <f>PRODUCT(SEMANAL!$D41,N$51)/1000+PRODUCT(SEMANAL!$B41,N$52)/1000</f>
        <v>0.42</v>
      </c>
      <c r="O70" s="129">
        <f>PRODUCT(SEMANAL!$D41,O$51)/1000+PRODUCT(SEMANAL!$B41,O$52)/1000</f>
        <v>0</v>
      </c>
      <c r="P70" s="131">
        <f>SUM('OC CACHARI 2'!B70:O70)</f>
        <v>3</v>
      </c>
      <c r="Q70" s="1">
        <v>4000</v>
      </c>
      <c r="R70" s="1">
        <f t="shared" si="5"/>
        <v>12000</v>
      </c>
      <c r="X70" s="3"/>
      <c r="Y70" s="3"/>
      <c r="Z70" s="3"/>
      <c r="AA70" s="3"/>
      <c r="AB70" s="3"/>
      <c r="AC70" s="3"/>
      <c r="AD70" s="3"/>
    </row>
    <row r="71" spans="1:30" ht="15" customHeight="1">
      <c r="A71" s="61" t="s">
        <v>110</v>
      </c>
      <c r="B71" s="129">
        <f>PRODUCT(SEMANAL!$D42,B$51)/500+PRODUCT(SEMANAL!$B42,B$52)/500</f>
        <v>0</v>
      </c>
      <c r="C71" s="129">
        <f>PRODUCT(SEMANAL!$D42,C$51)/500+PRODUCT(SEMANAL!$B42,C$52)/500</f>
        <v>0</v>
      </c>
      <c r="D71" s="129">
        <f>PRODUCT(SEMANAL!$D42,D$51)/500+PRODUCT(SEMANAL!$B42,D$52)/500</f>
        <v>0</v>
      </c>
      <c r="E71" s="129">
        <f>PRODUCT(SEMANAL!$D42,E$51)/500+PRODUCT(SEMANAL!$B42,E$52)/500</f>
        <v>0</v>
      </c>
      <c r="F71" s="129">
        <f>PRODUCT(SEMANAL!$D42,F$51)/500+PRODUCT(SEMANAL!$B42,F$52)/500</f>
        <v>0</v>
      </c>
      <c r="G71" s="129">
        <f>PRODUCT(SEMANAL!$D42,G$51)/500+PRODUCT(SEMANAL!$B42,G$52)/500</f>
        <v>0</v>
      </c>
      <c r="H71" s="129">
        <f>PRODUCT(SEMANAL!$D42,H$51)/500+PRODUCT(SEMANAL!$B42,H$52)/500</f>
        <v>0</v>
      </c>
      <c r="I71" s="129">
        <f>PRODUCT(SEMANAL!$D42,I$51)/500+PRODUCT(SEMANAL!$B42,I$52)/500</f>
        <v>1.2E-2</v>
      </c>
      <c r="J71" s="129">
        <f>PRODUCT(SEMANAL!$D42,J$51)/500+PRODUCT(SEMANAL!$B42,J$52)/500</f>
        <v>0</v>
      </c>
      <c r="K71" s="129">
        <f>PRODUCT(SEMANAL!$D42,K$51)/500+PRODUCT(SEMANAL!$B42,K$52)/500</f>
        <v>0</v>
      </c>
      <c r="L71" s="129">
        <f>PRODUCT(SEMANAL!$D42,L$51)/500+PRODUCT(SEMANAL!$B42,L$52)/500</f>
        <v>3.5999999999999997E-2</v>
      </c>
      <c r="M71" s="129">
        <f>PRODUCT(SEMANAL!$D42,M$51)/500+PRODUCT(SEMANAL!$B42,M$52)/500</f>
        <v>0.78</v>
      </c>
      <c r="N71" s="129">
        <f>PRODUCT(SEMANAL!$D42,N$51)/500+PRODUCT(SEMANAL!$B42,N$52)/500</f>
        <v>7.1999999999999995E-2</v>
      </c>
      <c r="O71" s="129">
        <f>PRODUCT(SEMANAL!$D42,O$51)/500+PRODUCT(SEMANAL!$B42,O$52)/500</f>
        <v>0</v>
      </c>
      <c r="P71" s="131">
        <f>SUM('OC CACHARI 2'!B71:O71)</f>
        <v>3</v>
      </c>
      <c r="Q71" s="1">
        <v>3304</v>
      </c>
      <c r="R71" s="1">
        <f t="shared" si="5"/>
        <v>9912</v>
      </c>
      <c r="X71" s="3"/>
      <c r="Y71" s="3"/>
      <c r="Z71" s="3"/>
      <c r="AA71" s="3"/>
      <c r="AB71" s="3"/>
      <c r="AC71" s="3"/>
      <c r="AD71" s="3"/>
    </row>
    <row r="72" spans="1:30" ht="15" customHeight="1">
      <c r="A72" s="61" t="s">
        <v>111</v>
      </c>
      <c r="B72" s="129">
        <f>PRODUCT(SEMANAL!$D43,B$51)/100+PRODUCT(SEMANAL!$B43,B$52)/100</f>
        <v>0</v>
      </c>
      <c r="C72" s="129">
        <f>PRODUCT(SEMANAL!$D43,C$51)/100+PRODUCT(SEMANAL!$B43,C$52)/100</f>
        <v>0</v>
      </c>
      <c r="D72" s="129">
        <f>PRODUCT(SEMANAL!$D43,D$51)/100+PRODUCT(SEMANAL!$B43,D$52)/100</f>
        <v>0</v>
      </c>
      <c r="E72" s="129">
        <f>PRODUCT(SEMANAL!$D43,E$51)/100+PRODUCT(SEMANAL!$B43,E$52)/100</f>
        <v>0</v>
      </c>
      <c r="F72" s="129">
        <f>PRODUCT(SEMANAL!$D43,F$51)/100+PRODUCT(SEMANAL!$B43,F$52)/100</f>
        <v>0</v>
      </c>
      <c r="G72" s="129">
        <f>PRODUCT(SEMANAL!$D43,G$51)/100+PRODUCT(SEMANAL!$B43,G$52)/100</f>
        <v>0</v>
      </c>
      <c r="H72" s="129">
        <f>PRODUCT(SEMANAL!$D43,H$51)/100+PRODUCT(SEMANAL!$B43,H$52)/100</f>
        <v>0</v>
      </c>
      <c r="I72" s="129">
        <f>PRODUCT(SEMANAL!$D43,I$51)/100+PRODUCT(SEMANAL!$B43,I$52)/100</f>
        <v>0</v>
      </c>
      <c r="J72" s="129">
        <f>PRODUCT(SEMANAL!$D43,J$51)/100+PRODUCT(SEMANAL!$B43,J$52)/100</f>
        <v>0</v>
      </c>
      <c r="K72" s="129">
        <f>PRODUCT(SEMANAL!$D43,K$51)/100+PRODUCT(SEMANAL!$B43,K$52)/100</f>
        <v>0</v>
      </c>
      <c r="L72" s="129">
        <f>PRODUCT(SEMANAL!$D43,L$51)/100+PRODUCT(SEMANAL!$B43,L$52)/100</f>
        <v>0</v>
      </c>
      <c r="M72" s="129">
        <f>PRODUCT(SEMANAL!$D43,M$51)/100+PRODUCT(SEMANAL!$B43,M$52)/100</f>
        <v>0</v>
      </c>
      <c r="N72" s="129">
        <f>PRODUCT(SEMANAL!$D43,N$51)/100+PRODUCT(SEMANAL!$B43,N$52)/100</f>
        <v>0</v>
      </c>
      <c r="O72" s="129">
        <f>PRODUCT(SEMANAL!$D43,O$51)/100+PRODUCT(SEMANAL!$B43,O$52)/100</f>
        <v>0</v>
      </c>
      <c r="P72" s="131">
        <f>SUM('OC CACHARI 2'!B72:O72)</f>
        <v>0</v>
      </c>
      <c r="Q72" s="1">
        <v>1487</v>
      </c>
      <c r="R72" s="1">
        <f t="shared" si="5"/>
        <v>0</v>
      </c>
      <c r="X72" s="3"/>
      <c r="Y72" s="3"/>
      <c r="Z72" s="3"/>
      <c r="AA72" s="3"/>
      <c r="AB72" s="3"/>
      <c r="AC72" s="3"/>
      <c r="AD72" s="3"/>
    </row>
    <row r="73" spans="1:30" ht="15" customHeight="1">
      <c r="A73" s="61" t="s">
        <v>112</v>
      </c>
      <c r="B73" s="129">
        <f>PRODUCT(SEMANAL!$D44,B$51)/1000+PRODUCT(SEMANAL!$B44,B$52)/1000</f>
        <v>0</v>
      </c>
      <c r="C73" s="129">
        <f>PRODUCT(SEMANAL!$D44,C$51)/1000+PRODUCT(SEMANAL!$B44,C$52)/1000</f>
        <v>0</v>
      </c>
      <c r="D73" s="129">
        <f>PRODUCT(SEMANAL!$D44,D$51)/1000+PRODUCT(SEMANAL!$B44,D$52)/1000</f>
        <v>0</v>
      </c>
      <c r="E73" s="129">
        <f>PRODUCT(SEMANAL!$D44,E$51)/1000+PRODUCT(SEMANAL!$B44,E$52)/1000</f>
        <v>0</v>
      </c>
      <c r="F73" s="129">
        <f>PRODUCT(SEMANAL!$D44,F$51)/1000+PRODUCT(SEMANAL!$B44,F$52)/1000</f>
        <v>0</v>
      </c>
      <c r="G73" s="129">
        <f>PRODUCT(SEMANAL!$D44,G$51)/1000+PRODUCT(SEMANAL!$B44,G$52)/1000</f>
        <v>0</v>
      </c>
      <c r="H73" s="129">
        <f>PRODUCT(SEMANAL!$D44,H$51)/1000+PRODUCT(SEMANAL!$B44,H$52)/1000</f>
        <v>0</v>
      </c>
      <c r="I73" s="129">
        <f>PRODUCT(SEMANAL!$D44,I$51)/1000+PRODUCT(SEMANAL!$B44,I$52)/1000</f>
        <v>0.1</v>
      </c>
      <c r="J73" s="129">
        <f>PRODUCT(SEMANAL!$D44,J$51)/1000+PRODUCT(SEMANAL!$B44,J$52)/1000</f>
        <v>0</v>
      </c>
      <c r="K73" s="129">
        <f>PRODUCT(SEMANAL!$D44,K$51)/1000+PRODUCT(SEMANAL!$B44,K$52)/1000</f>
        <v>0</v>
      </c>
      <c r="L73" s="129">
        <f>PRODUCT(SEMANAL!$D44,L$51)/1000+PRODUCT(SEMANAL!$B44,L$52)/1000</f>
        <v>0.3</v>
      </c>
      <c r="M73" s="129">
        <f>PRODUCT(SEMANAL!$D44,M$51)/1000+PRODUCT(SEMANAL!$B44,M$52)/1000</f>
        <v>6.5</v>
      </c>
      <c r="N73" s="129">
        <f>PRODUCT(SEMANAL!$D44,N$51)/1000+PRODUCT(SEMANAL!$B44,N$52)/1000</f>
        <v>0.6</v>
      </c>
      <c r="O73" s="129">
        <f>PRODUCT(SEMANAL!$D44,O$51)/1000+PRODUCT(SEMANAL!$B44,O$52)/1000</f>
        <v>0</v>
      </c>
      <c r="P73" s="131">
        <f>SUM('OC CACHARI 2'!B73:O73)</f>
        <v>10</v>
      </c>
      <c r="Q73" s="1">
        <v>1602</v>
      </c>
      <c r="R73" s="1">
        <f t="shared" si="5"/>
        <v>16020</v>
      </c>
      <c r="X73" s="3"/>
      <c r="Y73" s="3"/>
      <c r="Z73" s="3"/>
      <c r="AA73" s="3"/>
      <c r="AB73" s="3"/>
      <c r="AC73" s="3"/>
      <c r="AD73" s="3"/>
    </row>
    <row r="74" spans="1:30" ht="15" customHeight="1">
      <c r="A74" s="61" t="s">
        <v>113</v>
      </c>
      <c r="B74" s="129">
        <f>PRODUCT(SEMANAL!$D45,B$51)/1000+PRODUCT(SEMANAL!$B45,B$52)/1000</f>
        <v>0</v>
      </c>
      <c r="C74" s="129">
        <f>PRODUCT(SEMANAL!$D45,C$51)/1000+PRODUCT(SEMANAL!$B45,C$52)/1000</f>
        <v>0</v>
      </c>
      <c r="D74" s="129">
        <f>PRODUCT(SEMANAL!$D45,D$51)/1000+PRODUCT(SEMANAL!$B45,D$52)/1000</f>
        <v>0</v>
      </c>
      <c r="E74" s="129">
        <f>PRODUCT(SEMANAL!$D45,E$51)/1000+PRODUCT(SEMANAL!$B45,E$52)/1000</f>
        <v>0</v>
      </c>
      <c r="F74" s="129">
        <f>PRODUCT(SEMANAL!$D45,F$51)/1000+PRODUCT(SEMANAL!$B45,F$52)/1000</f>
        <v>0</v>
      </c>
      <c r="G74" s="129">
        <f>PRODUCT(SEMANAL!$D45,G$51)/1000+PRODUCT(SEMANAL!$B45,G$52)/1000</f>
        <v>0</v>
      </c>
      <c r="H74" s="129">
        <f>PRODUCT(SEMANAL!$D45,H$51)/1000+PRODUCT(SEMANAL!$B45,H$52)/1000</f>
        <v>0</v>
      </c>
      <c r="I74" s="129">
        <f>PRODUCT(SEMANAL!$D45,I$51)/1000+PRODUCT(SEMANAL!$B45,I$52)/1000</f>
        <v>0.15</v>
      </c>
      <c r="J74" s="129">
        <f>PRODUCT(SEMANAL!$D45,J$51)/1000+PRODUCT(SEMANAL!$B45,J$52)/1000</f>
        <v>0</v>
      </c>
      <c r="K74" s="129">
        <f>PRODUCT(SEMANAL!$D45,K$51)/1000+PRODUCT(SEMANAL!$B45,K$52)/1000</f>
        <v>0</v>
      </c>
      <c r="L74" s="129">
        <f>PRODUCT(SEMANAL!$D45,L$51)/1000+PRODUCT(SEMANAL!$B45,L$52)/1000</f>
        <v>0.45</v>
      </c>
      <c r="M74" s="129">
        <f>PRODUCT(SEMANAL!$D45,M$51)/1000+PRODUCT(SEMANAL!$B45,M$52)/1000</f>
        <v>9.75</v>
      </c>
      <c r="N74" s="129">
        <f>PRODUCT(SEMANAL!$D45,N$51)/1000+PRODUCT(SEMANAL!$B45,N$52)/1000</f>
        <v>0.9</v>
      </c>
      <c r="O74" s="129">
        <f>PRODUCT(SEMANAL!$D45,O$51)/1000+PRODUCT(SEMANAL!$B45,O$52)/1000</f>
        <v>0</v>
      </c>
      <c r="P74" s="131">
        <f>SUM('OC CACHARI 2'!B74:O74)</f>
        <v>13</v>
      </c>
      <c r="Q74" s="1">
        <v>991</v>
      </c>
      <c r="R74" s="1">
        <f t="shared" si="5"/>
        <v>12883</v>
      </c>
      <c r="X74" s="3"/>
      <c r="Y74" s="3"/>
      <c r="Z74" s="3"/>
      <c r="AA74" s="3"/>
      <c r="AB74" s="3"/>
      <c r="AC74" s="3"/>
      <c r="AD74" s="3"/>
    </row>
    <row r="75" spans="1:30" ht="15" customHeight="1">
      <c r="A75" s="61" t="s">
        <v>114</v>
      </c>
      <c r="B75" s="129">
        <f>PRODUCT(SEMANAL!$D46,B$51)/20+PRODUCT(SEMANAL!$B46,B$52)/20</f>
        <v>0</v>
      </c>
      <c r="C75" s="129">
        <f>PRODUCT(SEMANAL!$D46,C$51)/20+PRODUCT(SEMANAL!$B46,C$52)/20</f>
        <v>0</v>
      </c>
      <c r="D75" s="129">
        <f>PRODUCT(SEMANAL!$D46,D$51)/20+PRODUCT(SEMANAL!$B46,D$52)/20</f>
        <v>0</v>
      </c>
      <c r="E75" s="129">
        <f>PRODUCT(SEMANAL!$D46,E$51)/20+PRODUCT(SEMANAL!$B46,E$52)/20</f>
        <v>0</v>
      </c>
      <c r="F75" s="129">
        <f>PRODUCT(SEMANAL!$D46,F$51)/20+PRODUCT(SEMANAL!$B46,F$52)/20</f>
        <v>0</v>
      </c>
      <c r="G75" s="129">
        <f>PRODUCT(SEMANAL!$D46,G$51)/20+PRODUCT(SEMANAL!$B46,G$52)/20</f>
        <v>0</v>
      </c>
      <c r="H75" s="129">
        <f>PRODUCT(SEMANAL!$D46,H$51)/20+PRODUCT(SEMANAL!$B46,H$52)/20</f>
        <v>0</v>
      </c>
      <c r="I75" s="129">
        <f>PRODUCT(SEMANAL!$D46,I$51)/20+PRODUCT(SEMANAL!$B46,I$52)/20</f>
        <v>3.4999999999999996E-2</v>
      </c>
      <c r="J75" s="129">
        <f>PRODUCT(SEMANAL!$D46,J$51)/20+PRODUCT(SEMANAL!$B46,J$52)/20</f>
        <v>0</v>
      </c>
      <c r="K75" s="129">
        <f>PRODUCT(SEMANAL!$D46,K$51)/20+PRODUCT(SEMANAL!$B46,K$52)/20</f>
        <v>0</v>
      </c>
      <c r="L75" s="129">
        <f>PRODUCT(SEMANAL!$D46,L$51)/20+PRODUCT(SEMANAL!$B46,L$52)/20</f>
        <v>0.10499999999999998</v>
      </c>
      <c r="M75" s="129">
        <f>PRODUCT(SEMANAL!$D46,M$51)/20+PRODUCT(SEMANAL!$B46,M$52)/20</f>
        <v>2.2749999999999999</v>
      </c>
      <c r="N75" s="129">
        <f>PRODUCT(SEMANAL!$D46,N$51)/20+PRODUCT(SEMANAL!$B46,N$52)/20</f>
        <v>0.20999999999999996</v>
      </c>
      <c r="O75" s="129">
        <f>PRODUCT(SEMANAL!$D46,O$51)/20+PRODUCT(SEMANAL!$B46,O$52)/20</f>
        <v>0</v>
      </c>
      <c r="P75" s="131">
        <f>SUM('OC CACHARI 2'!B75:O75)</f>
        <v>6</v>
      </c>
      <c r="Q75" s="1">
        <v>1322</v>
      </c>
      <c r="R75" s="1">
        <f t="shared" si="5"/>
        <v>7932</v>
      </c>
      <c r="X75" s="3"/>
      <c r="Y75" s="3"/>
      <c r="Z75" s="3"/>
      <c r="AA75" s="3"/>
      <c r="AB75" s="3"/>
      <c r="AC75" s="3"/>
      <c r="AD75" s="3"/>
    </row>
    <row r="76" spans="1:30" ht="1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1"/>
      <c r="Q76" s="3" t="s">
        <v>280</v>
      </c>
      <c r="R76" s="3">
        <f>SUM(R53:R75)</f>
        <v>967318</v>
      </c>
      <c r="S76" s="3"/>
      <c r="T76" s="3"/>
      <c r="U76" s="3"/>
      <c r="V76" s="3"/>
      <c r="X76" s="1"/>
      <c r="Y76" s="1"/>
      <c r="Z76" s="1"/>
      <c r="AA76" s="1"/>
      <c r="AB76" s="1"/>
      <c r="AC76" s="1"/>
      <c r="AD76" s="1"/>
    </row>
    <row r="77" spans="1:30" ht="1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1"/>
      <c r="Q77" s="3"/>
      <c r="R77" s="3"/>
      <c r="S77" s="3"/>
      <c r="T77" s="3"/>
      <c r="U77" s="3"/>
      <c r="V77" s="3"/>
    </row>
    <row r="78" spans="1:30" ht="15" customHeight="1">
      <c r="A78" s="2" t="s">
        <v>299</v>
      </c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1"/>
      <c r="Q78" s="3"/>
      <c r="R78" s="3"/>
      <c r="S78" s="3"/>
      <c r="T78" s="3"/>
      <c r="U78" s="3"/>
      <c r="V78" s="3"/>
    </row>
    <row r="79" spans="1:30" ht="15" customHeight="1">
      <c r="A79" s="2" t="s">
        <v>300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1"/>
      <c r="Q79" s="3"/>
      <c r="R79" s="3"/>
      <c r="S79" s="3"/>
      <c r="T79" s="3"/>
      <c r="U79" s="3"/>
      <c r="V79" s="3"/>
    </row>
    <row r="80" spans="1:30" ht="1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126"/>
      <c r="Q80" s="3"/>
      <c r="R80" s="3"/>
      <c r="S80" s="3"/>
      <c r="T80" s="3"/>
      <c r="U80" s="3"/>
      <c r="V80" s="3"/>
      <c r="X80" s="1"/>
      <c r="Y80" s="1"/>
      <c r="Z80" s="1"/>
      <c r="AA80" s="1"/>
      <c r="AB80" s="1"/>
      <c r="AC80" s="1"/>
      <c r="AD80" s="1"/>
    </row>
    <row r="81" spans="1:30" ht="15" customHeight="1">
      <c r="A81" s="111"/>
      <c r="B81" s="61" t="s">
        <v>263</v>
      </c>
      <c r="C81" s="61" t="s">
        <v>264</v>
      </c>
      <c r="D81" s="61" t="s">
        <v>265</v>
      </c>
      <c r="E81" s="61" t="s">
        <v>266</v>
      </c>
      <c r="F81" s="61" t="s">
        <v>267</v>
      </c>
      <c r="G81" s="61" t="s">
        <v>268</v>
      </c>
      <c r="H81" s="61" t="s">
        <v>269</v>
      </c>
      <c r="I81" s="61" t="s">
        <v>270</v>
      </c>
      <c r="J81" s="61" t="s">
        <v>271</v>
      </c>
      <c r="K81" s="61" t="s">
        <v>272</v>
      </c>
      <c r="L81" s="61" t="s">
        <v>273</v>
      </c>
      <c r="M81" s="61" t="s">
        <v>274</v>
      </c>
      <c r="N81" s="61" t="s">
        <v>275</v>
      </c>
      <c r="O81" s="61" t="s">
        <v>276</v>
      </c>
      <c r="P81" s="127" t="s">
        <v>33</v>
      </c>
      <c r="X81" s="3"/>
      <c r="Y81" s="3"/>
      <c r="Z81" s="3"/>
      <c r="AA81" s="3"/>
      <c r="AB81" s="3"/>
      <c r="AC81" s="3"/>
      <c r="AD81" s="3"/>
    </row>
    <row r="82" spans="1:30" ht="15" customHeight="1">
      <c r="A82" s="122" t="s">
        <v>277</v>
      </c>
      <c r="B82" s="123">
        <v>111</v>
      </c>
      <c r="C82" s="123">
        <v>6</v>
      </c>
      <c r="D82" s="123">
        <v>5</v>
      </c>
      <c r="E82" s="123">
        <v>35</v>
      </c>
      <c r="F82" s="123">
        <v>123</v>
      </c>
      <c r="G82" s="123">
        <v>3</v>
      </c>
      <c r="H82" s="123">
        <v>3</v>
      </c>
      <c r="I82" s="123">
        <v>5</v>
      </c>
      <c r="J82" s="123">
        <v>4</v>
      </c>
      <c r="K82" s="123">
        <v>4</v>
      </c>
      <c r="L82" s="123">
        <v>12</v>
      </c>
      <c r="M82" s="123">
        <v>130</v>
      </c>
      <c r="N82" s="123">
        <v>24</v>
      </c>
      <c r="O82" s="123">
        <v>171</v>
      </c>
      <c r="P82" s="79">
        <f t="shared" ref="P82:P83" si="6">SUM(B82:O82)</f>
        <v>636</v>
      </c>
      <c r="X82" s="3"/>
      <c r="Y82" s="3"/>
      <c r="Z82" s="3"/>
      <c r="AA82" s="3"/>
      <c r="AB82" s="3"/>
      <c r="AC82" s="3"/>
      <c r="AD82" s="3"/>
    </row>
    <row r="83" spans="1:30" ht="15" customHeight="1">
      <c r="A83" s="122" t="s">
        <v>278</v>
      </c>
      <c r="B83" s="123">
        <v>0</v>
      </c>
      <c r="C83" s="123">
        <v>0</v>
      </c>
      <c r="D83" s="123">
        <v>0</v>
      </c>
      <c r="E83" s="123">
        <v>0</v>
      </c>
      <c r="F83" s="123">
        <v>0</v>
      </c>
      <c r="G83" s="123">
        <v>0</v>
      </c>
      <c r="H83" s="123">
        <v>0</v>
      </c>
      <c r="I83" s="123">
        <v>2</v>
      </c>
      <c r="J83" s="123">
        <v>0</v>
      </c>
      <c r="K83" s="123">
        <v>0</v>
      </c>
      <c r="L83" s="123">
        <v>6</v>
      </c>
      <c r="M83" s="123">
        <v>130</v>
      </c>
      <c r="N83" s="123">
        <v>12</v>
      </c>
      <c r="O83" s="123">
        <v>0</v>
      </c>
      <c r="P83" s="79">
        <f t="shared" si="6"/>
        <v>150</v>
      </c>
      <c r="Q83" s="1" t="s">
        <v>18</v>
      </c>
      <c r="R83" s="1" t="s">
        <v>279</v>
      </c>
      <c r="X83" s="3"/>
      <c r="Y83" s="3"/>
      <c r="Z83" s="3"/>
      <c r="AA83" s="3"/>
      <c r="AB83" s="3"/>
      <c r="AC83" s="3"/>
      <c r="AD83" s="3"/>
    </row>
    <row r="84" spans="1:30" ht="15" customHeight="1">
      <c r="A84" s="61" t="s">
        <v>170</v>
      </c>
      <c r="B84" s="128">
        <f>PRODUCT(SEMANAL!$B$52,B$83)/1000</f>
        <v>0</v>
      </c>
      <c r="C84" s="128">
        <f>PRODUCT(SEMANAL!$B$52,C$83)/1000</f>
        <v>0</v>
      </c>
      <c r="D84" s="128">
        <f>PRODUCT(SEMANAL!$B$52,D$83)/1000</f>
        <v>0</v>
      </c>
      <c r="E84" s="128">
        <f>PRODUCT(SEMANAL!$B$52,E$83)/1000</f>
        <v>0</v>
      </c>
      <c r="F84" s="128">
        <f>PRODUCT(SEMANAL!$B$52,F$83)/1000</f>
        <v>0</v>
      </c>
      <c r="G84" s="128">
        <f>PRODUCT(SEMANAL!$B$52,G$83)/1000</f>
        <v>0</v>
      </c>
      <c r="H84" s="128">
        <f>PRODUCT(SEMANAL!$B$52,H$83)/1000</f>
        <v>0</v>
      </c>
      <c r="I84" s="128">
        <f>PRODUCT(SEMANAL!$B$52,I$83)/1000</f>
        <v>0.2</v>
      </c>
      <c r="J84" s="128">
        <f>PRODUCT(SEMANAL!$B$52,J$83)/1000</f>
        <v>0</v>
      </c>
      <c r="K84" s="128">
        <f>PRODUCT(SEMANAL!$B$52,K$83)/1000</f>
        <v>0</v>
      </c>
      <c r="L84" s="128">
        <f>PRODUCT(SEMANAL!$B$52,L$83)/1000</f>
        <v>0.6</v>
      </c>
      <c r="M84" s="128">
        <f>PRODUCT(SEMANAL!$B$52,M$83)/1000</f>
        <v>13</v>
      </c>
      <c r="N84" s="128">
        <f>PRODUCT(SEMANAL!$B$52,N$83)/1000</f>
        <v>1.2</v>
      </c>
      <c r="O84" s="128">
        <f>PRODUCT(SEMANAL!$B$52,O$83)/1000</f>
        <v>0</v>
      </c>
      <c r="P84" s="70">
        <f>SUM('OC CACHARI 2'!B84:O84)</f>
        <v>17</v>
      </c>
      <c r="Q84" s="1">
        <v>9500</v>
      </c>
      <c r="R84" s="1">
        <f t="shared" ref="R84:R86" si="7">PRODUCT(P84:Q84)</f>
        <v>161500</v>
      </c>
      <c r="X84" s="3"/>
      <c r="Y84" s="3"/>
      <c r="Z84" s="3"/>
      <c r="AA84" s="3"/>
      <c r="AB84" s="3"/>
      <c r="AC84" s="3"/>
      <c r="AD84" s="3"/>
    </row>
    <row r="85" spans="1:30" ht="15" customHeight="1">
      <c r="A85" s="61" t="s">
        <v>301</v>
      </c>
      <c r="B85" s="128">
        <f>PRODUCT(SEMANAL!$B$53,B$83)/1000*1.68</f>
        <v>0</v>
      </c>
      <c r="C85" s="128">
        <f>PRODUCT(SEMANAL!$B$53,C$83)/1000*1.68</f>
        <v>0</v>
      </c>
      <c r="D85" s="128">
        <f>PRODUCT(SEMANAL!$B$53,D$83)/1000*1.68</f>
        <v>0</v>
      </c>
      <c r="E85" s="128">
        <f>PRODUCT(SEMANAL!$B$53,E$83)/1000*1.68</f>
        <v>0</v>
      </c>
      <c r="F85" s="128">
        <f>PRODUCT(SEMANAL!$B$53,F$83)/1000*1.68</f>
        <v>0</v>
      </c>
      <c r="G85" s="128">
        <f>PRODUCT(SEMANAL!$B$53,G$83)/1000*1.68</f>
        <v>0</v>
      </c>
      <c r="H85" s="128">
        <f>PRODUCT(SEMANAL!$B$53,H$83)/1000*1.68</f>
        <v>0</v>
      </c>
      <c r="I85" s="128">
        <f>PRODUCT(SEMANAL!$B$53,I$83)/1000*1.68</f>
        <v>0.26879999999999998</v>
      </c>
      <c r="J85" s="128">
        <f>PRODUCT(SEMANAL!$B$53,J$83)/1000*1.68</f>
        <v>0</v>
      </c>
      <c r="K85" s="128">
        <f>PRODUCT(SEMANAL!$B$53,K$83)/1000*1.68</f>
        <v>0</v>
      </c>
      <c r="L85" s="128">
        <f>PRODUCT(SEMANAL!$B$53,L$83)/1000*1.68</f>
        <v>0.80639999999999989</v>
      </c>
      <c r="M85" s="128">
        <f>PRODUCT(SEMANAL!$B$53,M$83)/1000*1.68</f>
        <v>17.472000000000001</v>
      </c>
      <c r="N85" s="128">
        <f>PRODUCT(SEMANAL!$B$53,N$83)/1000*1.68</f>
        <v>1.6127999999999998</v>
      </c>
      <c r="O85" s="128">
        <f>PRODUCT(SEMANAL!$B$53,O$83)/1000*1.68</f>
        <v>0</v>
      </c>
      <c r="P85" s="70">
        <f>SUM('OC CACHARI 2'!B85:O85)</f>
        <v>22</v>
      </c>
      <c r="Q85" s="1">
        <v>5500</v>
      </c>
      <c r="R85" s="1">
        <f t="shared" si="7"/>
        <v>121000</v>
      </c>
      <c r="X85" s="3"/>
      <c r="Y85" s="3"/>
      <c r="Z85" s="3"/>
      <c r="AA85" s="3"/>
      <c r="AB85" s="3"/>
      <c r="AC85" s="3"/>
      <c r="AD85" s="3"/>
    </row>
    <row r="86" spans="1:30" ht="15" customHeight="1">
      <c r="A86" s="61" t="s">
        <v>172</v>
      </c>
      <c r="B86" s="128">
        <f>PRODUCT(SEMANAL!$B$54,B$83)/1000</f>
        <v>0</v>
      </c>
      <c r="C86" s="128">
        <f>PRODUCT(SEMANAL!$B$54,C$83)/1000</f>
        <v>0</v>
      </c>
      <c r="D86" s="128">
        <f>PRODUCT(SEMANAL!$B$54,D$83)/1000</f>
        <v>0</v>
      </c>
      <c r="E86" s="128">
        <f>PRODUCT(SEMANAL!$B$54,E$83)/1000</f>
        <v>0</v>
      </c>
      <c r="F86" s="128">
        <f>PRODUCT(SEMANAL!$B$54,F$83)/1000</f>
        <v>0</v>
      </c>
      <c r="G86" s="128">
        <f>PRODUCT(SEMANAL!$B$54,G$83)/1000</f>
        <v>0</v>
      </c>
      <c r="H86" s="128">
        <f>PRODUCT(SEMANAL!$B$54,H$83)/1000</f>
        <v>0</v>
      </c>
      <c r="I86" s="128">
        <f>PRODUCT(SEMANAL!$B$54,I$83)/1000</f>
        <v>0.2</v>
      </c>
      <c r="J86" s="128">
        <f>PRODUCT(SEMANAL!$B$54,J$83)/1000</f>
        <v>0</v>
      </c>
      <c r="K86" s="128">
        <f>PRODUCT(SEMANAL!$B$54,K$83)/1000</f>
        <v>0</v>
      </c>
      <c r="L86" s="128">
        <f>PRODUCT(SEMANAL!$B$54,L$83)/1000</f>
        <v>0.6</v>
      </c>
      <c r="M86" s="128">
        <f>PRODUCT(SEMANAL!$B$54,M$83)/1000</f>
        <v>13</v>
      </c>
      <c r="N86" s="128">
        <f>PRODUCT(SEMANAL!$B$54,N$83)/1000</f>
        <v>1.2</v>
      </c>
      <c r="O86" s="128">
        <f>PRODUCT(SEMANAL!$B$54,O$83)/1000</f>
        <v>0</v>
      </c>
      <c r="P86" s="70">
        <f>SUM('OC CACHARI 2'!B86:O86)</f>
        <v>17</v>
      </c>
      <c r="Q86" s="1">
        <v>9500</v>
      </c>
      <c r="R86" s="1">
        <f t="shared" si="7"/>
        <v>161500</v>
      </c>
      <c r="X86" s="3"/>
      <c r="Y86" s="3"/>
      <c r="Z86" s="3"/>
      <c r="AA86" s="3"/>
      <c r="AB86" s="3"/>
      <c r="AC86" s="3"/>
      <c r="AD86" s="3"/>
    </row>
    <row r="87" spans="1:30" ht="1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 t="s">
        <v>280</v>
      </c>
      <c r="R87" s="3">
        <f>SUM(R84:R86)</f>
        <v>444000</v>
      </c>
      <c r="S87" s="3"/>
      <c r="T87" s="3"/>
      <c r="U87" s="3"/>
      <c r="V87" s="3"/>
      <c r="X87" s="1"/>
      <c r="Y87" s="1"/>
      <c r="Z87" s="1"/>
      <c r="AA87" s="1"/>
      <c r="AB87" s="1"/>
      <c r="AC87" s="1"/>
      <c r="AD87" s="1"/>
    </row>
    <row r="88" spans="1:30" ht="1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132" t="s">
        <v>189</v>
      </c>
      <c r="R88" s="3">
        <f>SUM(R29,R43,R76,R87)</f>
        <v>2853378</v>
      </c>
      <c r="S88" s="3"/>
      <c r="T88" s="3"/>
      <c r="U88" s="3"/>
      <c r="V88" s="3"/>
      <c r="X88" s="1"/>
      <c r="Y88" s="1"/>
      <c r="Z88" s="1"/>
      <c r="AA88" s="1"/>
      <c r="AB88" s="1"/>
      <c r="AC88" s="1"/>
      <c r="AD88" s="1"/>
    </row>
    <row r="89" spans="1:30" ht="15" customHeight="1">
      <c r="P89" s="3"/>
      <c r="Q89" s="3"/>
      <c r="R89" s="3"/>
      <c r="S89" s="3"/>
      <c r="T89" s="3"/>
      <c r="U89" s="3"/>
      <c r="V89" s="3"/>
      <c r="X89" s="1"/>
      <c r="Y89" s="1"/>
      <c r="Z89" s="1"/>
      <c r="AA89" s="1"/>
      <c r="AB89" s="1"/>
      <c r="AC89" s="1"/>
      <c r="AD89" s="1"/>
    </row>
    <row r="90" spans="1:30" ht="15" customHeight="1">
      <c r="P90" s="3"/>
      <c r="Q90" s="3"/>
      <c r="R90" s="3"/>
      <c r="S90" s="3"/>
      <c r="T90" s="3"/>
      <c r="U90" s="3"/>
      <c r="V90" s="3"/>
      <c r="X90" s="1"/>
      <c r="Y90" s="1"/>
      <c r="Z90" s="1"/>
      <c r="AA90" s="1"/>
      <c r="AB90" s="1"/>
      <c r="AC90" s="1"/>
      <c r="AD90" s="1"/>
    </row>
    <row r="91" spans="1:30" ht="15" customHeight="1">
      <c r="P91" s="3"/>
      <c r="Q91" s="3"/>
      <c r="R91" s="3"/>
      <c r="S91" s="3"/>
      <c r="T91" s="3"/>
      <c r="U91" s="3"/>
      <c r="V91" s="3"/>
      <c r="X91" s="1"/>
      <c r="Y91" s="1"/>
      <c r="Z91" s="1"/>
      <c r="AA91" s="1"/>
      <c r="AB91" s="1"/>
      <c r="AC91" s="1"/>
      <c r="AD91" s="1"/>
    </row>
    <row r="92" spans="1:30" ht="15" customHeight="1">
      <c r="X92" s="3"/>
      <c r="Y92" s="3"/>
      <c r="Z92" s="3"/>
      <c r="AA92" s="3"/>
      <c r="AB92" s="3"/>
      <c r="AC92" s="3"/>
      <c r="AD92" s="3"/>
    </row>
    <row r="93" spans="1:30" ht="15" customHeight="1">
      <c r="X93" s="3"/>
      <c r="Y93" s="3"/>
      <c r="Z93" s="3"/>
      <c r="AA93" s="3"/>
      <c r="AB93" s="3"/>
      <c r="AC93" s="3"/>
      <c r="AD93" s="3"/>
    </row>
    <row r="94" spans="1:30" ht="15" customHeight="1">
      <c r="X94" s="3"/>
      <c r="Y94" s="3"/>
      <c r="Z94" s="3"/>
      <c r="AA94" s="3"/>
      <c r="AB94" s="3"/>
      <c r="AC94" s="3"/>
      <c r="AD94" s="3"/>
    </row>
    <row r="95" spans="1:30" ht="15" customHeight="1">
      <c r="X95" s="3"/>
      <c r="Y95" s="3"/>
      <c r="Z95" s="3"/>
      <c r="AA95" s="3"/>
      <c r="AB95" s="3"/>
      <c r="AC95" s="3"/>
      <c r="AD95" s="3"/>
    </row>
    <row r="96" spans="1:30" ht="15" customHeight="1">
      <c r="X96" s="3"/>
      <c r="Y96" s="3"/>
      <c r="Z96" s="3"/>
      <c r="AA96" s="3"/>
      <c r="AB96" s="3"/>
      <c r="AC96" s="3"/>
      <c r="AD96" s="3"/>
    </row>
    <row r="97" spans="1:30" ht="15" customHeight="1">
      <c r="X97" s="3"/>
      <c r="Y97" s="3"/>
      <c r="Z97" s="3"/>
      <c r="AA97" s="3"/>
      <c r="AB97" s="3"/>
      <c r="AC97" s="3"/>
      <c r="AD97" s="3"/>
    </row>
    <row r="98" spans="1:30" ht="15" customHeight="1">
      <c r="X98" s="3"/>
      <c r="Y98" s="3"/>
      <c r="Z98" s="3"/>
      <c r="AA98" s="3"/>
      <c r="AB98" s="3"/>
      <c r="AC98" s="3"/>
      <c r="AD98" s="3"/>
    </row>
    <row r="99" spans="1:30" ht="15" customHeight="1">
      <c r="X99" s="3"/>
      <c r="Y99" s="3"/>
      <c r="Z99" s="3"/>
      <c r="AA99" s="3"/>
      <c r="AB99" s="3"/>
      <c r="AC99" s="3"/>
      <c r="AD99" s="3"/>
    </row>
    <row r="100" spans="1:3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X100" s="3"/>
      <c r="Y100" s="3"/>
      <c r="Z100" s="3"/>
      <c r="AA100" s="3"/>
      <c r="AB100" s="3"/>
      <c r="AC100" s="3"/>
      <c r="AD100" s="3"/>
    </row>
    <row r="101" spans="1:30" ht="1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1"/>
      <c r="Y101" s="1"/>
      <c r="Z101" s="1"/>
      <c r="AA101" s="1"/>
      <c r="AB101" s="1"/>
      <c r="AC101" s="1"/>
      <c r="AD101" s="1"/>
    </row>
    <row r="102" spans="1:30" ht="1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1"/>
      <c r="Y102" s="1"/>
      <c r="Z102" s="1"/>
      <c r="AA102" s="1"/>
      <c r="AB102" s="1"/>
      <c r="AC102" s="1"/>
      <c r="AD102" s="1"/>
    </row>
    <row r="103" spans="1:30" ht="1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1"/>
    </row>
    <row r="104" spans="1:30" ht="15" customHeight="1">
      <c r="A104" s="3"/>
      <c r="B104" s="3"/>
      <c r="C104" s="3"/>
      <c r="D104" s="3"/>
      <c r="E104" s="3"/>
      <c r="F104" s="3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1"/>
    </row>
    <row r="105" spans="1:30" ht="15" customHeight="1">
      <c r="A105" s="3"/>
      <c r="B105" s="3"/>
      <c r="C105" s="3"/>
      <c r="D105" s="3"/>
      <c r="E105" s="3"/>
      <c r="F105" s="3"/>
      <c r="G105" s="3"/>
      <c r="H105" s="3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1"/>
    </row>
    <row r="106" spans="1:30" ht="15" customHeight="1">
      <c r="A106" s="3"/>
      <c r="B106" s="3"/>
      <c r="C106" s="3"/>
      <c r="D106" s="3"/>
      <c r="E106" s="3"/>
      <c r="F106" s="3"/>
      <c r="G106" s="3"/>
      <c r="H106" s="3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1"/>
    </row>
    <row r="107" spans="1:30" ht="1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1"/>
    </row>
    <row r="108" spans="1:30" ht="15" customHeight="1">
      <c r="A108" s="3"/>
      <c r="B108" s="3"/>
      <c r="C108" s="3"/>
      <c r="D108" s="3"/>
      <c r="E108" s="3"/>
      <c r="F108" s="3"/>
      <c r="G108" s="3"/>
      <c r="H108" s="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"/>
    </row>
    <row r="109" spans="1:30" ht="15" customHeight="1">
      <c r="A109" s="3"/>
      <c r="B109" s="3"/>
      <c r="C109" s="3"/>
      <c r="D109" s="3"/>
      <c r="E109" s="3"/>
      <c r="F109" s="3"/>
      <c r="G109" s="3"/>
      <c r="H109" s="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</row>
    <row r="110" spans="1:30" ht="15" customHeight="1">
      <c r="A110" s="3"/>
      <c r="B110" s="3"/>
      <c r="C110" s="3"/>
      <c r="D110" s="3"/>
      <c r="E110" s="3"/>
      <c r="F110" s="3"/>
      <c r="G110" s="3"/>
      <c r="H110" s="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</row>
    <row r="111" spans="1:30" ht="15" customHeight="1">
      <c r="A111" s="3"/>
      <c r="B111" s="3"/>
      <c r="C111" s="3"/>
      <c r="D111" s="3"/>
      <c r="E111" s="3"/>
      <c r="F111" s="3"/>
      <c r="G111" s="3"/>
      <c r="H111" s="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</row>
    <row r="112" spans="1:30" ht="15" customHeight="1">
      <c r="A112" s="3"/>
      <c r="B112" s="3"/>
      <c r="C112" s="3"/>
      <c r="D112" s="3"/>
      <c r="E112" s="3"/>
      <c r="F112" s="3"/>
      <c r="G112" s="3"/>
      <c r="H112" s="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</row>
    <row r="113" spans="1:22" ht="15" customHeight="1">
      <c r="A113" s="3"/>
      <c r="B113" s="3"/>
      <c r="C113" s="3"/>
      <c r="D113" s="3"/>
      <c r="E113" s="3"/>
      <c r="F113" s="3"/>
      <c r="G113" s="3"/>
      <c r="H113" s="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/>
    <row r="116" spans="1:22" ht="15.75" customHeight="1"/>
    <row r="117" spans="1:22" ht="15.75" customHeight="1"/>
    <row r="118" spans="1:22" ht="15.75" customHeight="1"/>
    <row r="119" spans="1:22" ht="15.75" customHeight="1"/>
    <row r="120" spans="1:22" ht="15.75" customHeight="1"/>
    <row r="121" spans="1:22" ht="15.75" customHeight="1"/>
    <row r="122" spans="1:22" ht="15.75" customHeight="1"/>
    <row r="123" spans="1:22" ht="15.75" customHeight="1"/>
    <row r="124" spans="1:22" ht="15.75" customHeight="1"/>
    <row r="125" spans="1:22" ht="15.75" customHeight="1"/>
    <row r="126" spans="1:22" ht="15.75" customHeight="1"/>
    <row r="127" spans="1:22" ht="15.75" customHeight="1"/>
    <row r="128" spans="1:22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">
    <mergeCell ref="A8:B8"/>
  </mergeCells>
  <pageMargins left="0.25" right="0.25" top="0.75" bottom="0.75" header="0" footer="0"/>
  <pageSetup paperSize="3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7:O1006"/>
  <sheetViews>
    <sheetView zoomScale="90" zoomScaleNormal="90" workbookViewId="0">
      <selection activeCell="M77" sqref="M77"/>
    </sheetView>
  </sheetViews>
  <sheetFormatPr baseColWidth="10" defaultColWidth="14.42578125" defaultRowHeight="15" customHeight="1"/>
  <cols>
    <col min="1" max="1" width="52.28515625" customWidth="1"/>
    <col min="2" max="3" width="10.140625" customWidth="1"/>
    <col min="4" max="4" width="12.140625" customWidth="1"/>
    <col min="5" max="5" width="9.140625" customWidth="1"/>
    <col min="6" max="26" width="10.7109375" customWidth="1"/>
  </cols>
  <sheetData>
    <row r="7" spans="1:15" ht="15.75">
      <c r="A7" s="2" t="s">
        <v>261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5.75">
      <c r="A8" s="167" t="s">
        <v>1</v>
      </c>
      <c r="B8" s="168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5.75">
      <c r="A9" s="6"/>
      <c r="B9" s="2" t="s">
        <v>2</v>
      </c>
      <c r="C9" s="2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.75">
      <c r="A10" s="6"/>
      <c r="B10" s="6"/>
      <c r="C10" s="2"/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.75">
      <c r="A11" s="2" t="s">
        <v>3</v>
      </c>
      <c r="C11" s="2"/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5.75">
      <c r="A12" s="134" t="s">
        <v>302</v>
      </c>
      <c r="B12" s="2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5.75">
      <c r="A13" s="3"/>
      <c r="B13" s="160" t="s">
        <v>263</v>
      </c>
      <c r="C13" s="160" t="s">
        <v>264</v>
      </c>
      <c r="D13" s="61" t="s">
        <v>265</v>
      </c>
      <c r="E13" s="160" t="s">
        <v>266</v>
      </c>
      <c r="F13" s="160" t="s">
        <v>267</v>
      </c>
      <c r="G13" s="160" t="s">
        <v>268</v>
      </c>
      <c r="H13" s="61" t="s">
        <v>269</v>
      </c>
      <c r="I13" s="160" t="s">
        <v>270</v>
      </c>
      <c r="J13" s="160" t="s">
        <v>271</v>
      </c>
      <c r="K13" s="61" t="s">
        <v>272</v>
      </c>
      <c r="L13" s="160" t="s">
        <v>273</v>
      </c>
      <c r="M13" s="160" t="s">
        <v>274</v>
      </c>
      <c r="N13" s="160" t="s">
        <v>275</v>
      </c>
      <c r="O13" s="160" t="s">
        <v>276</v>
      </c>
    </row>
    <row r="14" spans="1:15" ht="15.75">
      <c r="A14" s="122" t="s">
        <v>277</v>
      </c>
      <c r="B14" s="123">
        <v>111</v>
      </c>
      <c r="C14" s="123">
        <v>6</v>
      </c>
      <c r="D14" s="123">
        <v>5</v>
      </c>
      <c r="E14" s="123">
        <v>35</v>
      </c>
      <c r="F14" s="123">
        <v>123</v>
      </c>
      <c r="G14" s="123">
        <v>3</v>
      </c>
      <c r="H14" s="123">
        <v>3</v>
      </c>
      <c r="I14" s="123">
        <v>5</v>
      </c>
      <c r="J14" s="123">
        <v>4</v>
      </c>
      <c r="K14" s="123">
        <v>4</v>
      </c>
      <c r="L14" s="123">
        <v>12</v>
      </c>
      <c r="M14" s="123">
        <v>130</v>
      </c>
      <c r="N14" s="123">
        <v>24</v>
      </c>
      <c r="O14" s="123">
        <v>171</v>
      </c>
    </row>
    <row r="15" spans="1:15" ht="15.75">
      <c r="A15" s="122" t="s">
        <v>278</v>
      </c>
      <c r="B15" s="123">
        <v>0</v>
      </c>
      <c r="C15" s="123">
        <v>0</v>
      </c>
      <c r="D15" s="123">
        <v>0</v>
      </c>
      <c r="E15" s="123">
        <v>0</v>
      </c>
      <c r="F15" s="123">
        <v>0</v>
      </c>
      <c r="G15" s="123">
        <v>0</v>
      </c>
      <c r="H15" s="123">
        <v>0</v>
      </c>
      <c r="I15" s="123">
        <v>2</v>
      </c>
      <c r="J15" s="123">
        <v>0</v>
      </c>
      <c r="K15" s="123">
        <v>0</v>
      </c>
      <c r="L15" s="123">
        <v>6</v>
      </c>
      <c r="M15" s="123">
        <v>130</v>
      </c>
      <c r="N15" s="123">
        <v>12</v>
      </c>
      <c r="O15" s="123">
        <v>0</v>
      </c>
    </row>
    <row r="16" spans="1:15" ht="15.75">
      <c r="A16" s="61" t="s">
        <v>20</v>
      </c>
      <c r="B16" s="135">
        <f>ROUNDUP('CACHARI 2'!B16,0)</f>
        <v>14</v>
      </c>
      <c r="C16" s="135">
        <f>ROUNDUP('CACHARI 2'!C16,0)</f>
        <v>1</v>
      </c>
      <c r="D16" s="135">
        <f>ROUNDUP('CACHARI 2'!D16,0)</f>
        <v>1</v>
      </c>
      <c r="E16" s="135">
        <f>ROUNDUP('CACHARI 2'!E16,0)</f>
        <v>5</v>
      </c>
      <c r="F16" s="135">
        <f>ROUNDUP('CACHARI 2'!F16,0)</f>
        <v>16</v>
      </c>
      <c r="G16" s="135">
        <f>ROUNDUP('CACHARI 2'!G16,0)</f>
        <v>1</v>
      </c>
      <c r="H16" s="135">
        <f>ROUNDUP('CACHARI 2'!H16,0)</f>
        <v>1</v>
      </c>
      <c r="I16" s="135">
        <f>ROUNDUP('CACHARI 2'!I16,0)</f>
        <v>1</v>
      </c>
      <c r="J16" s="135">
        <f>ROUNDUP('CACHARI 2'!J16,0)</f>
        <v>1</v>
      </c>
      <c r="K16" s="135">
        <f>ROUNDUP('CACHARI 2'!K16,0)</f>
        <v>1</v>
      </c>
      <c r="L16" s="135">
        <f>ROUNDUP('CACHARI 2'!L16,0)</f>
        <v>3</v>
      </c>
      <c r="M16" s="135">
        <v>0</v>
      </c>
      <c r="N16" s="135">
        <f>ROUNDUP('CACHARI 2'!N16,0)</f>
        <v>5</v>
      </c>
      <c r="O16" s="135">
        <f>ROUNDUP('CACHARI 2'!O16,0)</f>
        <v>22</v>
      </c>
    </row>
    <row r="17" spans="1:15" ht="15.75">
      <c r="A17" s="61" t="s">
        <v>21</v>
      </c>
      <c r="B17" s="135">
        <f>ROUNDUP('CACHARI 2'!B17,0)</f>
        <v>0</v>
      </c>
      <c r="C17" s="135">
        <f>ROUNDUP('CACHARI 2'!C17,0)</f>
        <v>0</v>
      </c>
      <c r="D17" s="135">
        <f>ROUNDUP('CACHARI 2'!D17,0)</f>
        <v>0</v>
      </c>
      <c r="E17" s="135">
        <f>ROUNDUP('CACHARI 2'!E17,0)</f>
        <v>0</v>
      </c>
      <c r="F17" s="135">
        <f>ROUNDUP('CACHARI 2'!F17,0)</f>
        <v>0</v>
      </c>
      <c r="G17" s="135">
        <f>ROUNDUP('CACHARI 2'!G17,0)</f>
        <v>0</v>
      </c>
      <c r="H17" s="135">
        <f>ROUNDUP('CACHARI 2'!H17,0)</f>
        <v>0</v>
      </c>
      <c r="I17" s="135">
        <f>ROUNDUP('CACHARI 2'!I17,0)</f>
        <v>1</v>
      </c>
      <c r="J17" s="135">
        <f>ROUNDUP('CACHARI 2'!J17,0)</f>
        <v>0</v>
      </c>
      <c r="K17" s="135">
        <f>ROUNDUP('CACHARI 2'!K17,0)</f>
        <v>0</v>
      </c>
      <c r="L17" s="135">
        <f>ROUNDUP('CACHARI 2'!L17,0)</f>
        <v>1</v>
      </c>
      <c r="M17" s="135">
        <f>ROUNDUP('CACHARI 2'!M17,0)</f>
        <v>16</v>
      </c>
      <c r="N17" s="135">
        <f>ROUNDUP('CACHARI 2'!N17,0)</f>
        <v>2</v>
      </c>
      <c r="O17" s="135">
        <f>ROUNDUP('CACHARI 2'!O17,0)</f>
        <v>0</v>
      </c>
    </row>
    <row r="18" spans="1:15" ht="15.75">
      <c r="A18" s="61" t="s">
        <v>22</v>
      </c>
      <c r="B18" s="135">
        <f>ROUNDUP('CACHARI 2'!B18,0)</f>
        <v>28</v>
      </c>
      <c r="C18" s="135">
        <f>ROUNDUP('CACHARI 2'!C18,0)</f>
        <v>2</v>
      </c>
      <c r="D18" s="135">
        <f>ROUNDUP('CACHARI 2'!D18,0)</f>
        <v>2</v>
      </c>
      <c r="E18" s="135">
        <f>ROUNDUP('CACHARI 2'!E18,0)</f>
        <v>9</v>
      </c>
      <c r="F18" s="135">
        <f>ROUNDUP('CACHARI 2'!F18,0)</f>
        <v>31</v>
      </c>
      <c r="G18" s="135">
        <f>ROUNDUP('CACHARI 2'!G18,0)</f>
        <v>1</v>
      </c>
      <c r="H18" s="135">
        <f>ROUNDUP('CACHARI 2'!H18,0)</f>
        <v>1</v>
      </c>
      <c r="I18" s="135">
        <f>ROUNDUP('CACHARI 2'!I18,0)</f>
        <v>2</v>
      </c>
      <c r="J18" s="135">
        <f>ROUNDUP('CACHARI 2'!J18,0)</f>
        <v>1</v>
      </c>
      <c r="K18" s="135">
        <f>ROUNDUP('CACHARI 2'!K18,0)</f>
        <v>1</v>
      </c>
      <c r="L18" s="135">
        <f>ROUNDUP('CACHARI 2'!L18,0)</f>
        <v>5</v>
      </c>
      <c r="M18" s="135">
        <v>0</v>
      </c>
      <c r="N18" s="135">
        <f>ROUNDUP('CACHARI 2'!N18,0)</f>
        <v>9</v>
      </c>
      <c r="O18" s="135">
        <f>ROUNDUP('CACHARI 2'!O18,0)</f>
        <v>43</v>
      </c>
    </row>
    <row r="19" spans="1:15" ht="15.75">
      <c r="A19" s="61" t="s">
        <v>23</v>
      </c>
      <c r="B19" s="135">
        <f>ROUNDUP('CACHARI 2'!B19,0)</f>
        <v>0</v>
      </c>
      <c r="C19" s="135">
        <f>ROUNDUP('CACHARI 2'!C19,0)</f>
        <v>0</v>
      </c>
      <c r="D19" s="135">
        <f>ROUNDUP('CACHARI 2'!D19,0)</f>
        <v>0</v>
      </c>
      <c r="E19" s="135">
        <f>ROUNDUP('CACHARI 2'!E19,0)</f>
        <v>0</v>
      </c>
      <c r="F19" s="135">
        <f>ROUNDUP('CACHARI 2'!F19,0)</f>
        <v>0</v>
      </c>
      <c r="G19" s="135">
        <f>ROUNDUP('CACHARI 2'!G19,0)</f>
        <v>0</v>
      </c>
      <c r="H19" s="135">
        <f>ROUNDUP('CACHARI 2'!H19,0)</f>
        <v>0</v>
      </c>
      <c r="I19" s="135">
        <f>ROUNDUP('CACHARI 2'!I19,0)</f>
        <v>0</v>
      </c>
      <c r="J19" s="135">
        <f>ROUNDUP('CACHARI 2'!J19,0)</f>
        <v>0</v>
      </c>
      <c r="K19" s="135">
        <f>ROUNDUP('CACHARI 2'!K19,0)</f>
        <v>0</v>
      </c>
      <c r="L19" s="135">
        <f>ROUNDUP('CACHARI 2'!L19,0)</f>
        <v>0</v>
      </c>
      <c r="M19" s="135">
        <f>ROUNDUP('CACHARI 2'!M19,0)</f>
        <v>0</v>
      </c>
      <c r="N19" s="135">
        <f>ROUNDUP('CACHARI 2'!N19,0)</f>
        <v>0</v>
      </c>
      <c r="O19" s="135">
        <f>ROUNDUP('CACHARI 2'!O19,0)</f>
        <v>0</v>
      </c>
    </row>
    <row r="20" spans="1:15" ht="15.75">
      <c r="A20" s="61" t="s">
        <v>24</v>
      </c>
      <c r="B20" s="135">
        <f>ROUNDUP('CACHARI 2'!B20,0)</f>
        <v>0</v>
      </c>
      <c r="C20" s="135">
        <f>ROUNDUP('CACHARI 2'!C20,0)</f>
        <v>0</v>
      </c>
      <c r="D20" s="135">
        <f>ROUNDUP('CACHARI 2'!D20,0)</f>
        <v>0</v>
      </c>
      <c r="E20" s="135">
        <f>ROUNDUP('CACHARI 2'!E20,0)</f>
        <v>0</v>
      </c>
      <c r="F20" s="135">
        <f>ROUNDUP('CACHARI 2'!F20,0)</f>
        <v>0</v>
      </c>
      <c r="G20" s="135">
        <f>ROUNDUP('CACHARI 2'!G20,0)</f>
        <v>0</v>
      </c>
      <c r="H20" s="135">
        <f>ROUNDUP('CACHARI 2'!H20,0)</f>
        <v>0</v>
      </c>
      <c r="I20" s="135">
        <f>ROUNDUP('CACHARI 2'!I20,0)</f>
        <v>1</v>
      </c>
      <c r="J20" s="135">
        <f>ROUNDUP('CACHARI 2'!J20,0)</f>
        <v>0</v>
      </c>
      <c r="K20" s="135">
        <f>ROUNDUP('CACHARI 2'!K20,0)</f>
        <v>0</v>
      </c>
      <c r="L20" s="135">
        <f>ROUNDUP('CACHARI 2'!L20,0)</f>
        <v>1</v>
      </c>
      <c r="M20" s="135">
        <f>ROUNDUP('CACHARI 2'!M20,0)</f>
        <v>19</v>
      </c>
      <c r="N20" s="135">
        <f>ROUNDUP('CACHARI 2'!N20,0)</f>
        <v>2</v>
      </c>
      <c r="O20" s="135">
        <f>ROUNDUP('CACHARI 2'!O20,0)</f>
        <v>0</v>
      </c>
    </row>
    <row r="21" spans="1:15" ht="15.75" customHeight="1">
      <c r="A21" s="61" t="s">
        <v>25</v>
      </c>
      <c r="B21" s="135">
        <f>ROUNDUP('CACHARI 2'!B21,0)</f>
        <v>0</v>
      </c>
      <c r="C21" s="135">
        <f>ROUNDUP('CACHARI 2'!C21,0)</f>
        <v>0</v>
      </c>
      <c r="D21" s="135">
        <f>ROUNDUP('CACHARI 2'!D21,0)</f>
        <v>0</v>
      </c>
      <c r="E21" s="135">
        <f>ROUNDUP('CACHARI 2'!E21,0)</f>
        <v>0</v>
      </c>
      <c r="F21" s="135">
        <f>ROUNDUP('CACHARI 2'!F21,0)</f>
        <v>0</v>
      </c>
      <c r="G21" s="135">
        <f>ROUNDUP('CACHARI 2'!G21,0)</f>
        <v>0</v>
      </c>
      <c r="H21" s="135">
        <f>ROUNDUP('CACHARI 2'!H21,0)</f>
        <v>0</v>
      </c>
      <c r="I21" s="135">
        <f>ROUNDUP('CACHARI 2'!I21,0)</f>
        <v>1</v>
      </c>
      <c r="J21" s="135">
        <f>ROUNDUP('CACHARI 2'!J21,0)</f>
        <v>0</v>
      </c>
      <c r="K21" s="135">
        <f>ROUNDUP('CACHARI 2'!K21,0)</f>
        <v>0</v>
      </c>
      <c r="L21" s="135">
        <f>ROUNDUP('CACHARI 2'!L21,0)</f>
        <v>1</v>
      </c>
      <c r="M21" s="135">
        <f>ROUNDUP('CACHARI 2'!M21,0)</f>
        <v>7</v>
      </c>
      <c r="N21" s="135">
        <f>ROUNDUP('CACHARI 2'!N21,0)</f>
        <v>1</v>
      </c>
      <c r="O21" s="135">
        <f>ROUNDUP('CACHARI 2'!O21,0)</f>
        <v>0</v>
      </c>
    </row>
    <row r="22" spans="1:15" ht="15.75" customHeight="1">
      <c r="A22" s="61" t="s">
        <v>26</v>
      </c>
      <c r="B22" s="135">
        <f>ROUNDUP('CACHARI 2'!B22,0)</f>
        <v>0</v>
      </c>
      <c r="C22" s="135">
        <f>ROUNDUP('CACHARI 2'!C22,0)</f>
        <v>0</v>
      </c>
      <c r="D22" s="135">
        <f>ROUNDUP('CACHARI 2'!D22,0)</f>
        <v>0</v>
      </c>
      <c r="E22" s="135">
        <f>ROUNDUP('CACHARI 2'!E22,0)</f>
        <v>0</v>
      </c>
      <c r="F22" s="135">
        <f>ROUNDUP('CACHARI 2'!F22,0)</f>
        <v>0</v>
      </c>
      <c r="G22" s="135">
        <f>ROUNDUP('CACHARI 2'!G22,0)</f>
        <v>0</v>
      </c>
      <c r="H22" s="135">
        <f>ROUNDUP('CACHARI 2'!H22,0)</f>
        <v>0</v>
      </c>
      <c r="I22" s="135">
        <f>ROUNDUP('CACHARI 2'!I22,0)</f>
        <v>1</v>
      </c>
      <c r="J22" s="135">
        <f>ROUNDUP('CACHARI 2'!J22,0)</f>
        <v>0</v>
      </c>
      <c r="K22" s="135">
        <f>ROUNDUP('CACHARI 2'!K22,0)</f>
        <v>0</v>
      </c>
      <c r="L22" s="135">
        <f>ROUNDUP('CACHARI 2'!L22,0)</f>
        <v>2</v>
      </c>
      <c r="M22" s="135">
        <f>ROUNDUP('CACHARI 2'!M22,0)</f>
        <v>26</v>
      </c>
      <c r="N22" s="135">
        <f>ROUNDUP('CACHARI 2'!N22,0)</f>
        <v>3</v>
      </c>
      <c r="O22" s="135">
        <f>ROUNDUP('CACHARI 2'!O22,0)</f>
        <v>0</v>
      </c>
    </row>
    <row r="23" spans="1:15" ht="15.75" customHeight="1">
      <c r="A23" s="61" t="s">
        <v>27</v>
      </c>
      <c r="B23" s="135">
        <f>ROUNDUP('CACHARI 2'!B23,0)</f>
        <v>0</v>
      </c>
      <c r="C23" s="135">
        <f>ROUNDUP('CACHARI 2'!C23,0)</f>
        <v>0</v>
      </c>
      <c r="D23" s="135">
        <f>ROUNDUP('CACHARI 2'!D23,0)</f>
        <v>0</v>
      </c>
      <c r="E23" s="135">
        <f>ROUNDUP('CACHARI 2'!E23,0)</f>
        <v>0</v>
      </c>
      <c r="F23" s="135">
        <f>ROUNDUP('CACHARI 2'!F23,0)</f>
        <v>0</v>
      </c>
      <c r="G23" s="135">
        <f>ROUNDUP('CACHARI 2'!G23,0)</f>
        <v>0</v>
      </c>
      <c r="H23" s="135">
        <f>ROUNDUP('CACHARI 2'!H23,0)</f>
        <v>0</v>
      </c>
      <c r="I23" s="135">
        <f>ROUNDUP('CACHARI 2'!I23,0)</f>
        <v>1</v>
      </c>
      <c r="J23" s="135">
        <f>ROUNDUP('CACHARI 2'!J23,0)</f>
        <v>0</v>
      </c>
      <c r="K23" s="135">
        <f>ROUNDUP('CACHARI 2'!K23,0)</f>
        <v>0</v>
      </c>
      <c r="L23" s="135">
        <f>ROUNDUP('CACHARI 2'!L23,0)</f>
        <v>1</v>
      </c>
      <c r="M23" s="135">
        <v>0</v>
      </c>
      <c r="N23" s="135">
        <f>ROUNDUP('CACHARI 2'!N23,0)</f>
        <v>1</v>
      </c>
      <c r="O23" s="135">
        <f>ROUNDUP('CACHARI 2'!O23,0)</f>
        <v>0</v>
      </c>
    </row>
    <row r="24" spans="1:15" ht="15.75" customHeight="1">
      <c r="A24" s="61" t="s">
        <v>28</v>
      </c>
      <c r="B24" s="135">
        <f>ROUNDUP('CACHARI 2'!B24,0)</f>
        <v>0</v>
      </c>
      <c r="C24" s="135">
        <f>ROUNDUP('CACHARI 2'!C24,0)</f>
        <v>0</v>
      </c>
      <c r="D24" s="135">
        <f>ROUNDUP('CACHARI 2'!D24,0)</f>
        <v>0</v>
      </c>
      <c r="E24" s="135">
        <f>ROUNDUP('CACHARI 2'!E24,0)</f>
        <v>0</v>
      </c>
      <c r="F24" s="135">
        <f>ROUNDUP('CACHARI 2'!F24,0)</f>
        <v>0</v>
      </c>
      <c r="G24" s="135">
        <f>ROUNDUP('CACHARI 2'!G24,0)</f>
        <v>0</v>
      </c>
      <c r="H24" s="135">
        <f>ROUNDUP('CACHARI 2'!H24,0)</f>
        <v>0</v>
      </c>
      <c r="I24" s="135">
        <f>ROUNDUP('CACHARI 2'!I24,0)</f>
        <v>1</v>
      </c>
      <c r="J24" s="135">
        <f>ROUNDUP('CACHARI 2'!J24,0)</f>
        <v>0</v>
      </c>
      <c r="K24" s="135">
        <f>ROUNDUP('CACHARI 2'!K24,0)</f>
        <v>0</v>
      </c>
      <c r="L24" s="135">
        <f>ROUNDUP('CACHARI 2'!L24,0)</f>
        <v>1</v>
      </c>
      <c r="M24" s="135">
        <v>0</v>
      </c>
      <c r="N24" s="135">
        <f>ROUNDUP('CACHARI 2'!N24,0)</f>
        <v>1</v>
      </c>
      <c r="O24" s="135">
        <f>ROUNDUP('CACHARI 2'!O24,0)</f>
        <v>0</v>
      </c>
    </row>
    <row r="25" spans="1:15" ht="15.75" customHeight="1">
      <c r="A25" s="61" t="s">
        <v>29</v>
      </c>
      <c r="B25" s="135">
        <f>ROUNDUP('CACHARI 2'!B25,0)</f>
        <v>0</v>
      </c>
      <c r="C25" s="135">
        <f>ROUNDUP('CACHARI 2'!C25,0)</f>
        <v>0</v>
      </c>
      <c r="D25" s="135">
        <f>ROUNDUP('CACHARI 2'!D25,0)</f>
        <v>0</v>
      </c>
      <c r="E25" s="135">
        <f>ROUNDUP('CACHARI 2'!E25,0)</f>
        <v>0</v>
      </c>
      <c r="F25" s="135">
        <f>ROUNDUP('CACHARI 2'!F25,0)</f>
        <v>0</v>
      </c>
      <c r="G25" s="135">
        <f>ROUNDUP('CACHARI 2'!G25,0)</f>
        <v>0</v>
      </c>
      <c r="H25" s="135">
        <f>ROUNDUP('CACHARI 2'!H25,0)</f>
        <v>0</v>
      </c>
      <c r="I25" s="135">
        <f>ROUNDUP('CACHARI 2'!I25,0)</f>
        <v>1</v>
      </c>
      <c r="J25" s="135">
        <f>ROUNDUP('CACHARI 2'!J25,0)</f>
        <v>0</v>
      </c>
      <c r="K25" s="135">
        <f>ROUNDUP('CACHARI 2'!K25,0)</f>
        <v>0</v>
      </c>
      <c r="L25" s="135">
        <f>ROUNDUP('CACHARI 2'!L25,0)</f>
        <v>1</v>
      </c>
      <c r="M25" s="135">
        <f>ROUNDUP('CACHARI 2'!M25,0)</f>
        <v>5</v>
      </c>
      <c r="N25" s="135">
        <f>ROUNDUP('CACHARI 2'!N25,0)</f>
        <v>1</v>
      </c>
      <c r="O25" s="135">
        <f>ROUNDUP('CACHARI 2'!O25,0)</f>
        <v>0</v>
      </c>
    </row>
    <row r="26" spans="1:15" ht="15.75" customHeight="1">
      <c r="A26" s="61" t="s">
        <v>30</v>
      </c>
      <c r="B26" s="135">
        <f>ROUNDUP('CACHARI 2'!B26,0)</f>
        <v>0</v>
      </c>
      <c r="C26" s="135">
        <f>ROUNDUP('CACHARI 2'!C26,0)</f>
        <v>0</v>
      </c>
      <c r="D26" s="135">
        <f>ROUNDUP('CACHARI 2'!D26,0)</f>
        <v>0</v>
      </c>
      <c r="E26" s="135">
        <f>ROUNDUP('CACHARI 2'!E26,0)</f>
        <v>0</v>
      </c>
      <c r="F26" s="135">
        <f>ROUNDUP('CACHARI 2'!F26,0)</f>
        <v>0</v>
      </c>
      <c r="G26" s="135">
        <f>ROUNDUP('CACHARI 2'!G26,0)</f>
        <v>0</v>
      </c>
      <c r="H26" s="135">
        <f>ROUNDUP('CACHARI 2'!H26,0)</f>
        <v>0</v>
      </c>
      <c r="I26" s="135">
        <f>ROUNDUP('CACHARI 2'!I26,0)</f>
        <v>1</v>
      </c>
      <c r="J26" s="135">
        <f>ROUNDUP('CACHARI 2'!J26,0)</f>
        <v>0</v>
      </c>
      <c r="K26" s="135">
        <f>ROUNDUP('CACHARI 2'!K26,0)</f>
        <v>0</v>
      </c>
      <c r="L26" s="135">
        <f>ROUNDUP('CACHARI 2'!L26,0)</f>
        <v>1</v>
      </c>
      <c r="M26" s="135">
        <v>0</v>
      </c>
      <c r="N26" s="135">
        <f>ROUNDUP('CACHARI 2'!N26,0)</f>
        <v>1</v>
      </c>
      <c r="O26" s="135">
        <f>ROUNDUP('CACHARI 2'!O26,0)</f>
        <v>0</v>
      </c>
    </row>
    <row r="27" spans="1:15" ht="15.75" customHeight="1">
      <c r="A27" s="61" t="s">
        <v>31</v>
      </c>
      <c r="B27" s="135">
        <f>ROUNDUP('CACHARI 2'!B27,0)</f>
        <v>0</v>
      </c>
      <c r="C27" s="135">
        <f>ROUNDUP('CACHARI 2'!C27,0)</f>
        <v>0</v>
      </c>
      <c r="D27" s="135">
        <f>ROUNDUP('CACHARI 2'!D27,0)</f>
        <v>0</v>
      </c>
      <c r="E27" s="135">
        <f>ROUNDUP('CACHARI 2'!E27,0)</f>
        <v>0</v>
      </c>
      <c r="F27" s="135">
        <f>ROUNDUP('CACHARI 2'!F27,0)</f>
        <v>0</v>
      </c>
      <c r="G27" s="135">
        <f>ROUNDUP('CACHARI 2'!G27,0)</f>
        <v>0</v>
      </c>
      <c r="H27" s="135">
        <f>ROUNDUP('CACHARI 2'!H27,0)</f>
        <v>0</v>
      </c>
      <c r="I27" s="135">
        <v>0</v>
      </c>
      <c r="J27" s="135">
        <f>ROUNDUP('CACHARI 2'!J27,0)</f>
        <v>0</v>
      </c>
      <c r="K27" s="135">
        <f>ROUNDUP('CACHARI 2'!K27,0)</f>
        <v>0</v>
      </c>
      <c r="L27" s="135">
        <f>ROUNDUP('CACHARI 2'!L27,0)</f>
        <v>1</v>
      </c>
      <c r="M27" s="135">
        <v>0</v>
      </c>
      <c r="N27" s="135">
        <f>ROUNDUP('CACHARI 2'!N27,0)</f>
        <v>1</v>
      </c>
      <c r="O27" s="135">
        <f>ROUNDUP('CACHARI 2'!O27,0)</f>
        <v>0</v>
      </c>
    </row>
    <row r="28" spans="1:15" ht="15.75" customHeight="1">
      <c r="A28" s="61" t="s">
        <v>32</v>
      </c>
      <c r="B28" s="135">
        <f>ROUNDUP('CACHARI 2'!B28,0)</f>
        <v>0</v>
      </c>
      <c r="C28" s="135">
        <f>ROUNDUP('CACHARI 2'!C28,0)</f>
        <v>0</v>
      </c>
      <c r="D28" s="135">
        <f>ROUNDUP('CACHARI 2'!D28,0)</f>
        <v>0</v>
      </c>
      <c r="E28" s="135">
        <f>ROUNDUP('CACHARI 2'!E28,0)</f>
        <v>0</v>
      </c>
      <c r="F28" s="135">
        <f>ROUNDUP('CACHARI 2'!F28,0)</f>
        <v>0</v>
      </c>
      <c r="G28" s="135">
        <f>ROUNDUP('CACHARI 2'!G28,0)</f>
        <v>0</v>
      </c>
      <c r="H28" s="135">
        <f>ROUNDUP('CACHARI 2'!H28,0)</f>
        <v>0</v>
      </c>
      <c r="I28" s="135">
        <f>ROUNDUP('CACHARI 2'!I28,0)</f>
        <v>1</v>
      </c>
      <c r="J28" s="135">
        <f>ROUNDUP('CACHARI 2'!J28,0)</f>
        <v>0</v>
      </c>
      <c r="K28" s="135">
        <f>ROUNDUP('CACHARI 2'!K28,0)</f>
        <v>0</v>
      </c>
      <c r="L28" s="135">
        <f>ROUNDUP('CACHARI 2'!L28,0)</f>
        <v>1</v>
      </c>
      <c r="M28" s="135">
        <v>0</v>
      </c>
      <c r="N28" s="135">
        <f>ROUNDUP('CACHARI 2'!N28,0)</f>
        <v>2</v>
      </c>
      <c r="O28" s="135">
        <f>ROUNDUP('CACHARI 2'!O28,0)</f>
        <v>0</v>
      </c>
    </row>
    <row r="29" spans="1:15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.75" customHeight="1">
      <c r="A31" s="2" t="s">
        <v>176</v>
      </c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15.75" customHeight="1">
      <c r="A32" s="2" t="s">
        <v>281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5.75" customHeight="1">
      <c r="A34" s="111"/>
      <c r="B34" s="61" t="s">
        <v>263</v>
      </c>
      <c r="C34" s="61" t="s">
        <v>264</v>
      </c>
      <c r="D34" s="61" t="s">
        <v>265</v>
      </c>
      <c r="E34" s="61" t="s">
        <v>266</v>
      </c>
      <c r="F34" s="61" t="s">
        <v>267</v>
      </c>
      <c r="G34" s="61" t="s">
        <v>268</v>
      </c>
      <c r="H34" s="61" t="s">
        <v>269</v>
      </c>
      <c r="I34" s="61" t="s">
        <v>270</v>
      </c>
      <c r="J34" s="61" t="s">
        <v>271</v>
      </c>
      <c r="K34" s="61" t="s">
        <v>272</v>
      </c>
      <c r="L34" s="61" t="s">
        <v>273</v>
      </c>
      <c r="M34" s="61" t="s">
        <v>274</v>
      </c>
      <c r="N34" s="61" t="s">
        <v>275</v>
      </c>
      <c r="O34" s="61" t="s">
        <v>276</v>
      </c>
    </row>
    <row r="35" spans="1:15" ht="15.75" customHeight="1">
      <c r="A35" s="122" t="s">
        <v>277</v>
      </c>
      <c r="B35" s="123">
        <v>111</v>
      </c>
      <c r="C35" s="123">
        <v>6</v>
      </c>
      <c r="D35" s="123">
        <v>5</v>
      </c>
      <c r="E35" s="123">
        <v>35</v>
      </c>
      <c r="F35" s="123">
        <v>123</v>
      </c>
      <c r="G35" s="123">
        <v>3</v>
      </c>
      <c r="H35" s="123">
        <v>3</v>
      </c>
      <c r="I35" s="123">
        <v>5</v>
      </c>
      <c r="J35" s="123">
        <v>4</v>
      </c>
      <c r="K35" s="123">
        <v>4</v>
      </c>
      <c r="L35" s="123">
        <v>12</v>
      </c>
      <c r="M35" s="123">
        <v>130</v>
      </c>
      <c r="N35" s="123">
        <v>24</v>
      </c>
      <c r="O35" s="123">
        <v>171</v>
      </c>
    </row>
    <row r="36" spans="1:15" ht="15.75" customHeight="1">
      <c r="A36" s="122" t="s">
        <v>278</v>
      </c>
      <c r="B36" s="123">
        <v>0</v>
      </c>
      <c r="C36" s="123">
        <v>0</v>
      </c>
      <c r="D36" s="123">
        <v>0</v>
      </c>
      <c r="E36" s="123">
        <v>0</v>
      </c>
      <c r="F36" s="123">
        <v>0</v>
      </c>
      <c r="G36" s="123">
        <v>0</v>
      </c>
      <c r="H36" s="123">
        <v>0</v>
      </c>
      <c r="I36" s="123">
        <v>2</v>
      </c>
      <c r="J36" s="123">
        <v>0</v>
      </c>
      <c r="K36" s="123">
        <v>0</v>
      </c>
      <c r="L36" s="123">
        <v>6</v>
      </c>
      <c r="M36" s="123">
        <v>130</v>
      </c>
      <c r="N36" s="123">
        <v>12</v>
      </c>
      <c r="O36" s="123">
        <v>0</v>
      </c>
    </row>
    <row r="37" spans="1:15" ht="15.75" customHeight="1">
      <c r="A37" s="111" t="s">
        <v>182</v>
      </c>
      <c r="B37" s="136">
        <f>ROUNDUP('CACHARI 2'!B37,0)</f>
        <v>6</v>
      </c>
      <c r="C37" s="136">
        <f>ROUNDUP('CACHARI 2'!C37,0)</f>
        <v>1</v>
      </c>
      <c r="D37" s="136">
        <f>ROUNDUP('CACHARI 2'!D37,0)</f>
        <v>1</v>
      </c>
      <c r="E37" s="136">
        <f>ROUNDUP('CACHARI 2'!E37,0)</f>
        <v>2</v>
      </c>
      <c r="F37" s="136">
        <f>ROUNDUP('CACHARI 2'!F37,0)</f>
        <v>7</v>
      </c>
      <c r="G37" s="136">
        <f>ROUNDUP('CACHARI 2'!G37,0)</f>
        <v>1</v>
      </c>
      <c r="H37" s="136">
        <f>ROUNDUP('CACHARI 2'!H37,0)</f>
        <v>1</v>
      </c>
      <c r="I37" s="136">
        <f>ROUNDUP('CACHARI 2'!I37,0)</f>
        <v>1</v>
      </c>
      <c r="J37" s="136">
        <f>ROUNDUP('CACHARI 2'!J37,0)</f>
        <v>1</v>
      </c>
      <c r="K37" s="136">
        <f>ROUNDUP('CACHARI 2'!K37,0)</f>
        <v>1</v>
      </c>
      <c r="L37" s="136">
        <f>ROUNDUP('CACHARI 2'!L37,0)</f>
        <v>1</v>
      </c>
      <c r="M37" s="136">
        <f>ROUNDUP('CACHARI 2'!M37,0)</f>
        <v>7</v>
      </c>
      <c r="N37" s="136">
        <f>ROUNDUP('CACHARI 2'!N37,0)</f>
        <v>2</v>
      </c>
      <c r="O37" s="136">
        <f>ROUNDUP('CACHARI 2'!O37,0)</f>
        <v>9</v>
      </c>
    </row>
    <row r="38" spans="1:15" ht="15.75" customHeight="1">
      <c r="A38" s="111" t="s">
        <v>183</v>
      </c>
      <c r="B38" s="136">
        <v>5</v>
      </c>
      <c r="C38" s="136">
        <v>0</v>
      </c>
      <c r="D38" s="136">
        <v>0</v>
      </c>
      <c r="E38" s="136">
        <f>ROUNDUP('CACHARI 2'!E38,0)</f>
        <v>2</v>
      </c>
      <c r="F38" s="136">
        <v>6</v>
      </c>
      <c r="G38" s="136">
        <v>0</v>
      </c>
      <c r="H38" s="136">
        <v>0</v>
      </c>
      <c r="I38" s="136">
        <v>0</v>
      </c>
      <c r="J38" s="136">
        <v>0</v>
      </c>
      <c r="K38" s="136">
        <v>0</v>
      </c>
      <c r="L38" s="136">
        <f>ROUNDUP('CACHARI 2'!L38,0)</f>
        <v>1</v>
      </c>
      <c r="M38" s="136">
        <f>ROUNDUP('CACHARI 2'!M38,0)</f>
        <v>7</v>
      </c>
      <c r="N38" s="136">
        <f>ROUNDUP('CACHARI 2'!N38,0)</f>
        <v>2</v>
      </c>
      <c r="O38" s="136">
        <f>ROUNDUP('CACHARI 2'!O38,0)</f>
        <v>9</v>
      </c>
    </row>
    <row r="39" spans="1:15" ht="15.75" customHeight="1">
      <c r="A39" s="111" t="s">
        <v>184</v>
      </c>
      <c r="B39" s="136">
        <f>ROUNDUP('CACHARI 2'!B39,0)</f>
        <v>6</v>
      </c>
      <c r="C39" s="136">
        <f>ROUNDUP('CACHARI 2'!C39,0)</f>
        <v>1</v>
      </c>
      <c r="D39" s="136">
        <f>ROUNDUP('CACHARI 2'!D39,0)</f>
        <v>1</v>
      </c>
      <c r="E39" s="136">
        <f>ROUNDUP('CACHARI 2'!E39,0)</f>
        <v>2</v>
      </c>
      <c r="F39" s="136">
        <f>ROUNDUP('CACHARI 2'!F39,0)</f>
        <v>7</v>
      </c>
      <c r="G39" s="136">
        <f>ROUNDUP('CACHARI 2'!G39,0)</f>
        <v>1</v>
      </c>
      <c r="H39" s="136">
        <f>ROUNDUP('CACHARI 2'!H39,0)</f>
        <v>1</v>
      </c>
      <c r="I39" s="136">
        <f>ROUNDUP('CACHARI 2'!I39,0)</f>
        <v>1</v>
      </c>
      <c r="J39" s="136">
        <f>ROUNDUP('CACHARI 2'!J39,0)</f>
        <v>1</v>
      </c>
      <c r="K39" s="136">
        <f>ROUNDUP('CACHARI 2'!K39,0)</f>
        <v>1</v>
      </c>
      <c r="L39" s="136">
        <f>ROUNDUP('CACHARI 2'!L39,0)</f>
        <v>1</v>
      </c>
      <c r="M39" s="136">
        <f>ROUNDUP('CACHARI 2'!M39,0)</f>
        <v>7</v>
      </c>
      <c r="N39" s="136">
        <f>ROUNDUP('CACHARI 2'!N39,0)</f>
        <v>2</v>
      </c>
      <c r="O39" s="136">
        <f>ROUNDUP('CACHARI 2'!O39,0)</f>
        <v>9</v>
      </c>
    </row>
    <row r="40" spans="1:15" ht="15.75" customHeight="1">
      <c r="A40" s="111" t="s">
        <v>185</v>
      </c>
      <c r="B40" s="136">
        <v>5</v>
      </c>
      <c r="C40" s="136">
        <v>0</v>
      </c>
      <c r="D40" s="136">
        <v>0</v>
      </c>
      <c r="E40" s="136">
        <f>ROUNDUP('CACHARI 2'!E40,0)</f>
        <v>2</v>
      </c>
      <c r="F40" s="136">
        <v>6</v>
      </c>
      <c r="G40" s="136">
        <v>0</v>
      </c>
      <c r="H40" s="136">
        <v>0</v>
      </c>
      <c r="I40" s="136">
        <v>0</v>
      </c>
      <c r="J40" s="136">
        <v>0</v>
      </c>
      <c r="K40" s="136">
        <v>0</v>
      </c>
      <c r="L40" s="136">
        <f>ROUNDUP('CACHARI 2'!L40,0)</f>
        <v>1</v>
      </c>
      <c r="M40" s="136">
        <f>ROUNDUP('CACHARI 2'!M40,0)</f>
        <v>7</v>
      </c>
      <c r="N40" s="136">
        <f>ROUNDUP('CACHARI 2'!N40,0)</f>
        <v>2</v>
      </c>
      <c r="O40" s="136">
        <f>ROUNDUP('CACHARI 2'!O40,0)</f>
        <v>9</v>
      </c>
    </row>
    <row r="41" spans="1:15" ht="15.75" customHeight="1">
      <c r="A41" s="111" t="s">
        <v>186</v>
      </c>
      <c r="B41" s="136">
        <f>ROUNDUP('CACHARI 2'!B41,0)</f>
        <v>6</v>
      </c>
      <c r="C41" s="136">
        <f>ROUNDUP('CACHARI 2'!C41,0)</f>
        <v>1</v>
      </c>
      <c r="D41" s="136">
        <f>ROUNDUP('CACHARI 2'!D41,0)</f>
        <v>1</v>
      </c>
      <c r="E41" s="136">
        <f>ROUNDUP('CACHARI 2'!E41,0)</f>
        <v>2</v>
      </c>
      <c r="F41" s="136">
        <f>ROUNDUP('CACHARI 2'!F41,0)</f>
        <v>7</v>
      </c>
      <c r="G41" s="136">
        <f>ROUNDUP('CACHARI 2'!G41,0)</f>
        <v>1</v>
      </c>
      <c r="H41" s="136">
        <f>ROUNDUP('CACHARI 2'!H41,0)</f>
        <v>1</v>
      </c>
      <c r="I41" s="136">
        <f>ROUNDUP('CACHARI 2'!I41,0)</f>
        <v>1</v>
      </c>
      <c r="J41" s="136">
        <f>ROUNDUP('CACHARI 2'!J41,0)</f>
        <v>1</v>
      </c>
      <c r="K41" s="136">
        <f>ROUNDUP('CACHARI 2'!K41,0)</f>
        <v>1</v>
      </c>
      <c r="L41" s="136">
        <f>ROUNDUP('CACHARI 2'!L41,0)</f>
        <v>1</v>
      </c>
      <c r="M41" s="136">
        <f>ROUNDUP('CACHARI 2'!M41,0)</f>
        <v>7</v>
      </c>
      <c r="N41" s="136">
        <f>ROUNDUP('CACHARI 2'!N41,0)</f>
        <v>2</v>
      </c>
      <c r="O41" s="136">
        <f>ROUNDUP('CACHARI 2'!O41,0)</f>
        <v>9</v>
      </c>
    </row>
    <row r="42" spans="1:15" ht="15.75" customHeight="1">
      <c r="A42" s="111" t="s">
        <v>282</v>
      </c>
      <c r="B42" s="136">
        <f>ROUNDUP('CACHARI 2'!B42,0)</f>
        <v>0</v>
      </c>
      <c r="C42" s="136">
        <f>ROUNDUP('CACHARI 2'!C42,0)</f>
        <v>0</v>
      </c>
      <c r="D42" s="136">
        <f>ROUNDUP('CACHARI 2'!D42,0)</f>
        <v>0</v>
      </c>
      <c r="E42" s="136">
        <f>ROUNDUP('CACHARI 2'!E42,0)</f>
        <v>0</v>
      </c>
      <c r="F42" s="136">
        <f>ROUNDUP('CACHARI 2'!F42,0)</f>
        <v>0</v>
      </c>
      <c r="G42" s="136">
        <f>ROUNDUP('CACHARI 2'!G42,0)</f>
        <v>0</v>
      </c>
      <c r="H42" s="136">
        <f>ROUNDUP('CACHARI 2'!H42,0)</f>
        <v>0</v>
      </c>
      <c r="I42" s="136">
        <f>ROUNDUP('CACHARI 2'!I42,0)</f>
        <v>0</v>
      </c>
      <c r="J42" s="136">
        <f>ROUNDUP('CACHARI 2'!J42,0)</f>
        <v>0</v>
      </c>
      <c r="K42" s="136">
        <f>ROUNDUP('CACHARI 2'!K42,0)</f>
        <v>0</v>
      </c>
      <c r="L42" s="136">
        <f>ROUNDUP('CACHARI 2'!L42,0)</f>
        <v>0</v>
      </c>
      <c r="M42" s="136">
        <v>0</v>
      </c>
      <c r="N42" s="136">
        <f>ROUNDUP('CACHARI 2'!N42,0)</f>
        <v>0</v>
      </c>
      <c r="O42" s="136">
        <f>ROUNDUP('CACHARI 2'!O42,0)</f>
        <v>0</v>
      </c>
    </row>
    <row r="43" spans="1:15" ht="15.75" customHeight="1">
      <c r="A43" s="3"/>
      <c r="B43" s="3"/>
      <c r="C43" s="3"/>
      <c r="D43" s="3"/>
      <c r="E43" s="3"/>
      <c r="F43" s="130"/>
      <c r="G43" s="3"/>
      <c r="H43" s="3"/>
      <c r="I43" s="3"/>
      <c r="J43" s="3"/>
      <c r="K43" s="3"/>
      <c r="L43" s="3"/>
      <c r="M43" s="3"/>
      <c r="N43" s="3"/>
      <c r="O43" s="3">
        <v>916500</v>
      </c>
    </row>
    <row r="44" spans="1:15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5.75" customHeight="1">
      <c r="A47" s="2" t="s">
        <v>90</v>
      </c>
      <c r="B47" s="2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.75" customHeight="1">
      <c r="A48" s="2" t="s">
        <v>283</v>
      </c>
      <c r="B48" s="2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ht="15.75" customHeight="1">
      <c r="A50" s="111"/>
      <c r="B50" s="61" t="s">
        <v>263</v>
      </c>
      <c r="C50" s="160" t="s">
        <v>264</v>
      </c>
      <c r="D50" s="61" t="s">
        <v>265</v>
      </c>
      <c r="E50" s="61" t="s">
        <v>266</v>
      </c>
      <c r="F50" s="160" t="s">
        <v>267</v>
      </c>
      <c r="G50" s="61" t="s">
        <v>268</v>
      </c>
      <c r="H50" s="61" t="s">
        <v>269</v>
      </c>
      <c r="I50" s="160" t="s">
        <v>270</v>
      </c>
      <c r="J50" s="160" t="s">
        <v>271</v>
      </c>
      <c r="K50" s="61" t="s">
        <v>272</v>
      </c>
      <c r="L50" s="61" t="s">
        <v>273</v>
      </c>
      <c r="M50" s="61" t="s">
        <v>274</v>
      </c>
      <c r="N50" s="160" t="s">
        <v>275</v>
      </c>
      <c r="O50" s="61" t="s">
        <v>276</v>
      </c>
    </row>
    <row r="51" spans="1:15" ht="15.75" customHeight="1">
      <c r="A51" s="122" t="s">
        <v>277</v>
      </c>
      <c r="B51" s="123">
        <v>111</v>
      </c>
      <c r="C51" s="123">
        <v>6</v>
      </c>
      <c r="D51" s="123">
        <v>5</v>
      </c>
      <c r="E51" s="123">
        <v>35</v>
      </c>
      <c r="F51" s="123">
        <v>123</v>
      </c>
      <c r="G51" s="123">
        <v>3</v>
      </c>
      <c r="H51" s="123">
        <v>3</v>
      </c>
      <c r="I51" s="123">
        <v>5</v>
      </c>
      <c r="J51" s="123">
        <v>4</v>
      </c>
      <c r="K51" s="123">
        <v>4</v>
      </c>
      <c r="L51" s="123">
        <v>12</v>
      </c>
      <c r="M51" s="123">
        <v>130</v>
      </c>
      <c r="N51" s="123">
        <v>24</v>
      </c>
      <c r="O51" s="123">
        <v>171</v>
      </c>
    </row>
    <row r="52" spans="1:15" ht="15.75" customHeight="1">
      <c r="A52" s="122" t="s">
        <v>278</v>
      </c>
      <c r="B52" s="123">
        <v>0</v>
      </c>
      <c r="C52" s="123">
        <v>0</v>
      </c>
      <c r="D52" s="123">
        <v>0</v>
      </c>
      <c r="E52" s="123">
        <v>0</v>
      </c>
      <c r="F52" s="123">
        <v>0</v>
      </c>
      <c r="G52" s="123">
        <v>0</v>
      </c>
      <c r="H52" s="123">
        <v>0</v>
      </c>
      <c r="I52" s="123">
        <v>2</v>
      </c>
      <c r="J52" s="123">
        <v>0</v>
      </c>
      <c r="K52" s="123">
        <v>0</v>
      </c>
      <c r="L52" s="123">
        <v>6</v>
      </c>
      <c r="M52" s="123">
        <v>130</v>
      </c>
      <c r="N52" s="123">
        <v>12</v>
      </c>
      <c r="O52" s="123">
        <v>0</v>
      </c>
    </row>
    <row r="53" spans="1:15" ht="15.75" customHeight="1">
      <c r="A53" s="61" t="s">
        <v>284</v>
      </c>
      <c r="B53" s="136">
        <v>0</v>
      </c>
      <c r="C53" s="136">
        <f>ROUNDUP('CACHARI 2'!C53,0)</f>
        <v>4</v>
      </c>
      <c r="D53" s="136">
        <f>ROUNDUP('CACHARI 2'!D53,0)</f>
        <v>3</v>
      </c>
      <c r="E53" s="136">
        <f>ROUNDUP('CACHARI 2'!E53,0)</f>
        <v>21</v>
      </c>
      <c r="F53" s="136">
        <f>ROUNDUP('CACHARI 2'!F53,0)</f>
        <v>74</v>
      </c>
      <c r="G53" s="136">
        <f>ROUNDUP('CACHARI 2'!G53,0)</f>
        <v>2</v>
      </c>
      <c r="H53" s="136">
        <f>ROUNDUP('CACHARI 2'!H53,0)</f>
        <v>2</v>
      </c>
      <c r="I53" s="136">
        <f>ROUNDUP('CACHARI 2'!I53,0)</f>
        <v>4</v>
      </c>
      <c r="J53" s="136">
        <f>ROUNDUP('CACHARI 2'!J53,0)</f>
        <v>3</v>
      </c>
      <c r="K53" s="136">
        <f>ROUNDUP('CACHARI 2'!K53,0)</f>
        <v>3</v>
      </c>
      <c r="L53" s="136">
        <f>ROUNDUP('CACHARI 2'!L53,0)</f>
        <v>8</v>
      </c>
      <c r="M53" s="136">
        <v>0</v>
      </c>
      <c r="N53" s="136">
        <f>ROUNDUP('CACHARI 2'!N53,0)</f>
        <v>16</v>
      </c>
      <c r="O53" s="136">
        <f>ROUNDUP('CACHARI 2'!O53,0)</f>
        <v>103</v>
      </c>
    </row>
    <row r="54" spans="1:15" ht="15.75" customHeight="1">
      <c r="A54" s="61" t="s">
        <v>285</v>
      </c>
      <c r="B54" s="136">
        <v>0</v>
      </c>
      <c r="C54" s="136">
        <f>ROUNDUP('CACHARI 2'!C54,0)</f>
        <v>1</v>
      </c>
      <c r="D54" s="136">
        <f>ROUNDUP('CACHARI 2'!D54,0)</f>
        <v>1</v>
      </c>
      <c r="E54" s="136">
        <f>ROUNDUP('CACHARI 2'!E54,0)</f>
        <v>1</v>
      </c>
      <c r="F54" s="136">
        <f>ROUNDUP('CACHARI 2'!F54,0)</f>
        <v>2</v>
      </c>
      <c r="G54" s="136">
        <f>ROUNDUP('CACHARI 2'!G54,0)</f>
        <v>1</v>
      </c>
      <c r="H54" s="136">
        <f>ROUNDUP('CACHARI 2'!H54,0)</f>
        <v>1</v>
      </c>
      <c r="I54" s="136">
        <f>ROUNDUP('CACHARI 2'!I54,0)</f>
        <v>1</v>
      </c>
      <c r="J54" s="136">
        <f>ROUNDUP('CACHARI 2'!J54,0)</f>
        <v>1</v>
      </c>
      <c r="K54" s="136">
        <f>ROUNDUP('CACHARI 2'!K54,0)</f>
        <v>1</v>
      </c>
      <c r="L54" s="136">
        <f>ROUNDUP('CACHARI 2'!L54,0)</f>
        <v>1</v>
      </c>
      <c r="M54" s="136">
        <v>0</v>
      </c>
      <c r="N54" s="136">
        <f>ROUNDUP('CACHARI 2'!N54,0)</f>
        <v>1</v>
      </c>
      <c r="O54" s="136">
        <f>ROUNDUP('CACHARI 2'!O54,0)</f>
        <v>3</v>
      </c>
    </row>
    <row r="55" spans="1:15" ht="15.75" customHeight="1">
      <c r="A55" s="61" t="s">
        <v>286</v>
      </c>
      <c r="B55" s="136">
        <v>0</v>
      </c>
      <c r="C55" s="136">
        <v>0</v>
      </c>
      <c r="D55" s="136">
        <f>ROUNDUP('CACHARI 2'!D55,0)</f>
        <v>1</v>
      </c>
      <c r="E55" s="136">
        <f>ROUNDUP('CACHARI 2'!E55,0)</f>
        <v>3</v>
      </c>
      <c r="F55" s="136">
        <v>7</v>
      </c>
      <c r="G55" s="136">
        <f>ROUNDUP('CACHARI 2'!G55,0)</f>
        <v>1</v>
      </c>
      <c r="H55" s="136">
        <f>ROUNDUP('CACHARI 2'!H55,0)</f>
        <v>1</v>
      </c>
      <c r="I55" s="136">
        <v>0</v>
      </c>
      <c r="J55" s="136">
        <v>0</v>
      </c>
      <c r="K55" s="136">
        <f>ROUNDUP('CACHARI 2'!K55,0)</f>
        <v>1</v>
      </c>
      <c r="L55" s="136">
        <f>ROUNDUP('CACHARI 2'!L55,0)</f>
        <v>1</v>
      </c>
      <c r="M55" s="136">
        <v>0</v>
      </c>
      <c r="N55" s="136">
        <f>ROUNDUP('CACHARI 2'!N55,0)</f>
        <v>2</v>
      </c>
      <c r="O55" s="136">
        <v>0</v>
      </c>
    </row>
    <row r="56" spans="1:15" ht="15.75" customHeight="1">
      <c r="A56" s="61" t="s">
        <v>95</v>
      </c>
      <c r="B56" s="136">
        <v>0</v>
      </c>
      <c r="C56" s="136">
        <v>0</v>
      </c>
      <c r="D56" s="136">
        <f>ROUNDUP('CACHARI 2'!D56,0)</f>
        <v>1</v>
      </c>
      <c r="E56" s="136">
        <f>ROUNDUP('CACHARI 2'!E56,0)</f>
        <v>2</v>
      </c>
      <c r="F56" s="136">
        <v>6</v>
      </c>
      <c r="G56" s="136">
        <f>ROUNDUP('CACHARI 2'!G56,0)</f>
        <v>1</v>
      </c>
      <c r="H56" s="136">
        <f>ROUNDUP('CACHARI 2'!H56,0)</f>
        <v>1</v>
      </c>
      <c r="I56" s="136">
        <v>0</v>
      </c>
      <c r="J56" s="136">
        <v>0</v>
      </c>
      <c r="K56" s="136">
        <f>ROUNDUP('CACHARI 2'!K56,0)</f>
        <v>1</v>
      </c>
      <c r="L56" s="136">
        <f>ROUNDUP('CACHARI 2'!L56,0)</f>
        <v>1</v>
      </c>
      <c r="M56" s="136">
        <v>0</v>
      </c>
      <c r="N56" s="136">
        <f>ROUNDUP('CACHARI 2'!N56,0)</f>
        <v>2</v>
      </c>
      <c r="O56" s="136">
        <f>ROUNDUP('CACHARI 2'!O56,0)</f>
        <v>10</v>
      </c>
    </row>
    <row r="57" spans="1:15" ht="15.75" customHeight="1">
      <c r="A57" s="61" t="s">
        <v>287</v>
      </c>
      <c r="B57" s="136">
        <v>0</v>
      </c>
      <c r="C57" s="136">
        <f>ROUNDUP('CACHARI 2'!C57,0)</f>
        <v>1</v>
      </c>
      <c r="D57" s="136">
        <f>ROUNDUP('CACHARI 2'!D57,0)</f>
        <v>1</v>
      </c>
      <c r="E57" s="136">
        <f>ROUNDUP('CACHARI 2'!E57,0)</f>
        <v>3</v>
      </c>
      <c r="F57" s="136">
        <v>8</v>
      </c>
      <c r="G57" s="136">
        <f>ROUNDUP('CACHARI 2'!G57,0)</f>
        <v>1</v>
      </c>
      <c r="H57" s="136">
        <f>ROUNDUP('CACHARI 2'!H57,0)</f>
        <v>1</v>
      </c>
      <c r="I57" s="136">
        <f>ROUNDUP('CACHARI 2'!I57,0)</f>
        <v>1</v>
      </c>
      <c r="J57" s="136">
        <f>ROUNDUP('CACHARI 2'!J57,0)</f>
        <v>1</v>
      </c>
      <c r="K57" s="136">
        <f>ROUNDUP('CACHARI 2'!K57,0)</f>
        <v>1</v>
      </c>
      <c r="L57" s="136">
        <f>ROUNDUP('CACHARI 2'!L57,0)</f>
        <v>1</v>
      </c>
      <c r="M57" s="136">
        <v>0</v>
      </c>
      <c r="N57" s="136">
        <f>ROUNDUP('CACHARI 2'!N57,0)</f>
        <v>2</v>
      </c>
      <c r="O57" s="136">
        <f>ROUNDUP('CACHARI 2'!O57,0)</f>
        <v>13</v>
      </c>
    </row>
    <row r="58" spans="1:15" ht="15.75" customHeight="1">
      <c r="A58" s="61" t="s">
        <v>288</v>
      </c>
      <c r="B58" s="136">
        <v>0</v>
      </c>
      <c r="C58" s="136">
        <v>0</v>
      </c>
      <c r="D58" s="136">
        <f>ROUNDUP('CACHARI 2'!D58,0)</f>
        <v>1</v>
      </c>
      <c r="E58" s="136">
        <f>ROUNDUP('CACHARI 2'!E58,0)</f>
        <v>1</v>
      </c>
      <c r="F58" s="136">
        <f>ROUNDUP('CACHARI 2'!F58,0)</f>
        <v>3</v>
      </c>
      <c r="G58" s="136">
        <f>ROUNDUP('CACHARI 2'!G58,0)</f>
        <v>1</v>
      </c>
      <c r="H58" s="136">
        <f>ROUNDUP('CACHARI 2'!H58,0)</f>
        <v>1</v>
      </c>
      <c r="I58" s="136">
        <v>0</v>
      </c>
      <c r="J58" s="136">
        <v>0</v>
      </c>
      <c r="K58" s="136">
        <f>ROUNDUP('CACHARI 2'!K58,0)</f>
        <v>1</v>
      </c>
      <c r="L58" s="136">
        <v>0</v>
      </c>
      <c r="M58" s="136">
        <v>0</v>
      </c>
      <c r="N58" s="136">
        <f>ROUNDUP('CACHARI 2'!N58,0)</f>
        <v>1</v>
      </c>
      <c r="O58" s="136">
        <v>0</v>
      </c>
    </row>
    <row r="59" spans="1:15" ht="15.75" customHeight="1">
      <c r="A59" s="61" t="s">
        <v>289</v>
      </c>
      <c r="B59" s="136">
        <f>ROUNDUP('CACHARI 2'!B59,0)</f>
        <v>0</v>
      </c>
      <c r="C59" s="136">
        <f>ROUNDUP('CACHARI 2'!C59,0)</f>
        <v>0</v>
      </c>
      <c r="D59" s="136">
        <f>ROUNDUP('CACHARI 2'!D59,0)</f>
        <v>0</v>
      </c>
      <c r="E59" s="136">
        <f>ROUNDUP('CACHARI 2'!E59,0)</f>
        <v>0</v>
      </c>
      <c r="F59" s="136">
        <f>ROUNDUP('CACHARI 2'!F59,0)</f>
        <v>0</v>
      </c>
      <c r="G59" s="136">
        <f>ROUNDUP('CACHARI 2'!G59,0)</f>
        <v>0</v>
      </c>
      <c r="H59" s="136">
        <f>ROUNDUP('CACHARI 2'!H59,0)</f>
        <v>0</v>
      </c>
      <c r="I59" s="136">
        <f>ROUNDUP('CACHARI 2'!I59,0)</f>
        <v>1</v>
      </c>
      <c r="J59" s="136">
        <f>ROUNDUP('CACHARI 2'!J59,0)</f>
        <v>0</v>
      </c>
      <c r="K59" s="136">
        <f>ROUNDUP('CACHARI 2'!K59,0)</f>
        <v>0</v>
      </c>
      <c r="L59" s="136">
        <f>ROUNDUP('CACHARI 2'!L59,0)</f>
        <v>1</v>
      </c>
      <c r="M59" s="136">
        <v>0</v>
      </c>
      <c r="N59" s="136">
        <f>ROUNDUP('CACHARI 2'!N59,0)</f>
        <v>1</v>
      </c>
      <c r="O59" s="136">
        <f>ROUNDUP('CACHARI 2'!O59,0)</f>
        <v>0</v>
      </c>
    </row>
    <row r="60" spans="1:15" ht="15.75" customHeight="1">
      <c r="A60" s="61" t="s">
        <v>290</v>
      </c>
      <c r="B60" s="136">
        <f>ROUNDUP('CACHARI 2'!B60,0)</f>
        <v>0</v>
      </c>
      <c r="C60" s="136">
        <f>ROUNDUP('CACHARI 2'!C60,0)</f>
        <v>0</v>
      </c>
      <c r="D60" s="136">
        <f>ROUNDUP('CACHARI 2'!D60,0)</f>
        <v>0</v>
      </c>
      <c r="E60" s="136">
        <f>ROUNDUP('CACHARI 2'!E60,0)</f>
        <v>0</v>
      </c>
      <c r="F60" s="136">
        <f>ROUNDUP('CACHARI 2'!F60,0)</f>
        <v>0</v>
      </c>
      <c r="G60" s="136">
        <f>ROUNDUP('CACHARI 2'!G60,0)</f>
        <v>0</v>
      </c>
      <c r="H60" s="136">
        <f>ROUNDUP('CACHARI 2'!H60,0)</f>
        <v>0</v>
      </c>
      <c r="I60" s="136">
        <f>ROUNDUP('CACHARI 2'!I60,0)</f>
        <v>1</v>
      </c>
      <c r="J60" s="136">
        <f>ROUNDUP('CACHARI 2'!J60,0)</f>
        <v>0</v>
      </c>
      <c r="K60" s="136">
        <f>ROUNDUP('CACHARI 2'!K60,0)</f>
        <v>0</v>
      </c>
      <c r="L60" s="136">
        <f>ROUNDUP('CACHARI 2'!L60,0)</f>
        <v>1</v>
      </c>
      <c r="M60" s="136">
        <v>2</v>
      </c>
      <c r="N60" s="136">
        <f>ROUNDUP('CACHARI 2'!N60,0)</f>
        <v>1</v>
      </c>
      <c r="O60" s="136">
        <f>ROUNDUP('CACHARI 2'!O60,0)</f>
        <v>0</v>
      </c>
    </row>
    <row r="61" spans="1:15" ht="15.75" customHeight="1">
      <c r="A61" s="61" t="s">
        <v>291</v>
      </c>
      <c r="B61" s="136">
        <f>ROUNDUP('CACHARI 2'!B61,0)</f>
        <v>0</v>
      </c>
      <c r="C61" s="136">
        <f>ROUNDUP('CACHARI 2'!C61,0)</f>
        <v>0</v>
      </c>
      <c r="D61" s="136">
        <f>ROUNDUP('CACHARI 2'!D61,0)</f>
        <v>0</v>
      </c>
      <c r="E61" s="136">
        <f>ROUNDUP('CACHARI 2'!E61,0)</f>
        <v>0</v>
      </c>
      <c r="F61" s="136">
        <f>ROUNDUP('CACHARI 2'!F61,0)</f>
        <v>0</v>
      </c>
      <c r="G61" s="136">
        <f>ROUNDUP('CACHARI 2'!G61,0)</f>
        <v>0</v>
      </c>
      <c r="H61" s="136">
        <f>ROUNDUP('CACHARI 2'!H61,0)</f>
        <v>0</v>
      </c>
      <c r="I61" s="136">
        <f>ROUNDUP('CACHARI 2'!I61,0)</f>
        <v>1</v>
      </c>
      <c r="J61" s="136">
        <f>ROUNDUP('CACHARI 2'!J61,0)</f>
        <v>0</v>
      </c>
      <c r="K61" s="136">
        <f>ROUNDUP('CACHARI 2'!K61,0)</f>
        <v>0</v>
      </c>
      <c r="L61" s="136">
        <f>ROUNDUP('CACHARI 2'!L61,0)</f>
        <v>1</v>
      </c>
      <c r="M61" s="136">
        <f>ROUNDUP('CACHARI 2'!M61,0)</f>
        <v>11</v>
      </c>
      <c r="N61" s="136">
        <f>ROUNDUP('CACHARI 2'!N61,0)</f>
        <v>1</v>
      </c>
      <c r="O61" s="136">
        <f>ROUNDUP('CACHARI 2'!O61,0)</f>
        <v>0</v>
      </c>
    </row>
    <row r="62" spans="1:15" ht="15.75" customHeight="1">
      <c r="A62" s="61" t="s">
        <v>292</v>
      </c>
      <c r="B62" s="136">
        <f>ROUNDUP('CACHARI 2'!B62,0)</f>
        <v>0</v>
      </c>
      <c r="C62" s="136">
        <f>ROUNDUP('CACHARI 2'!C62,0)</f>
        <v>0</v>
      </c>
      <c r="D62" s="136">
        <f>ROUNDUP('CACHARI 2'!D62,0)</f>
        <v>0</v>
      </c>
      <c r="E62" s="136">
        <f>ROUNDUP('CACHARI 2'!E62,0)</f>
        <v>0</v>
      </c>
      <c r="F62" s="136">
        <f>ROUNDUP('CACHARI 2'!F62,0)</f>
        <v>0</v>
      </c>
      <c r="G62" s="136">
        <f>ROUNDUP('CACHARI 2'!G62,0)</f>
        <v>0</v>
      </c>
      <c r="H62" s="136">
        <f>ROUNDUP('CACHARI 2'!H62,0)</f>
        <v>0</v>
      </c>
      <c r="I62" s="136">
        <f>ROUNDUP('CACHARI 2'!I62,0)</f>
        <v>0</v>
      </c>
      <c r="J62" s="136">
        <f>ROUNDUP('CACHARI 2'!J62,0)</f>
        <v>0</v>
      </c>
      <c r="K62" s="136">
        <f>ROUNDUP('CACHARI 2'!K62,0)</f>
        <v>0</v>
      </c>
      <c r="L62" s="136">
        <f>ROUNDUP('CACHARI 2'!L62,0)</f>
        <v>0</v>
      </c>
      <c r="M62" s="136">
        <f>ROUNDUP('CACHARI 2'!M62,0)</f>
        <v>0</v>
      </c>
      <c r="N62" s="136">
        <f>ROUNDUP('CACHARI 2'!N62,0)</f>
        <v>0</v>
      </c>
      <c r="O62" s="136">
        <f>ROUNDUP('CACHARI 2'!O62,0)</f>
        <v>0</v>
      </c>
    </row>
    <row r="63" spans="1:15" ht="15.75" customHeight="1">
      <c r="A63" s="61" t="s">
        <v>293</v>
      </c>
      <c r="B63" s="136">
        <f>ROUNDUP('CACHARI 2'!B63,0)</f>
        <v>0</v>
      </c>
      <c r="C63" s="136">
        <f>ROUNDUP('CACHARI 2'!C63,0)</f>
        <v>0</v>
      </c>
      <c r="D63" s="136">
        <f>ROUNDUP('CACHARI 2'!D63,0)</f>
        <v>0</v>
      </c>
      <c r="E63" s="136">
        <f>ROUNDUP('CACHARI 2'!E63,0)</f>
        <v>0</v>
      </c>
      <c r="F63" s="136">
        <f>ROUNDUP('CACHARI 2'!F63,0)</f>
        <v>0</v>
      </c>
      <c r="G63" s="136">
        <f>ROUNDUP('CACHARI 2'!G63,0)</f>
        <v>0</v>
      </c>
      <c r="H63" s="136">
        <f>ROUNDUP('CACHARI 2'!H63,0)</f>
        <v>0</v>
      </c>
      <c r="I63" s="136">
        <f>ROUNDUP('CACHARI 2'!I63,0)</f>
        <v>1</v>
      </c>
      <c r="J63" s="136">
        <f>ROUNDUP('CACHARI 2'!J63,0)</f>
        <v>0</v>
      </c>
      <c r="K63" s="136">
        <f>ROUNDUP('CACHARI 2'!K63,0)</f>
        <v>0</v>
      </c>
      <c r="L63" s="136">
        <f>ROUNDUP('CACHARI 2'!L63,0)</f>
        <v>1</v>
      </c>
      <c r="M63" s="136">
        <v>10</v>
      </c>
      <c r="N63" s="136">
        <f>ROUNDUP('CACHARI 2'!N63,0)</f>
        <v>2</v>
      </c>
      <c r="O63" s="136">
        <f>ROUNDUP('CACHARI 2'!O63,0)</f>
        <v>0</v>
      </c>
    </row>
    <row r="64" spans="1:15" ht="15.75" customHeight="1">
      <c r="A64" s="61" t="s">
        <v>294</v>
      </c>
      <c r="B64" s="136">
        <f>ROUNDUP('CACHARI 2'!B64,0)</f>
        <v>0</v>
      </c>
      <c r="C64" s="136">
        <f>ROUNDUP('CACHARI 2'!C64,0)</f>
        <v>0</v>
      </c>
      <c r="D64" s="136">
        <f>ROUNDUP('CACHARI 2'!D64,0)</f>
        <v>0</v>
      </c>
      <c r="E64" s="136">
        <f>ROUNDUP('CACHARI 2'!E64,0)</f>
        <v>0</v>
      </c>
      <c r="F64" s="136">
        <f>ROUNDUP('CACHARI 2'!F64,0)</f>
        <v>0</v>
      </c>
      <c r="G64" s="136">
        <f>ROUNDUP('CACHARI 2'!G64,0)</f>
        <v>0</v>
      </c>
      <c r="H64" s="136">
        <f>ROUNDUP('CACHARI 2'!H64,0)</f>
        <v>0</v>
      </c>
      <c r="I64" s="136">
        <f>ROUNDUP('CACHARI 2'!I64,0)</f>
        <v>0</v>
      </c>
      <c r="J64" s="136">
        <f>ROUNDUP('CACHARI 2'!J64,0)</f>
        <v>0</v>
      </c>
      <c r="K64" s="136">
        <f>ROUNDUP('CACHARI 2'!K64,0)</f>
        <v>0</v>
      </c>
      <c r="L64" s="136">
        <f>ROUNDUP('CACHARI 2'!L64,0)</f>
        <v>0</v>
      </c>
      <c r="M64" s="136">
        <f>ROUNDUP('CACHARI 2'!M64,0)</f>
        <v>0</v>
      </c>
      <c r="N64" s="136">
        <f>ROUNDUP('CACHARI 2'!N64,0)</f>
        <v>0</v>
      </c>
      <c r="O64" s="136">
        <f>ROUNDUP('CACHARI 2'!O64,0)</f>
        <v>0</v>
      </c>
    </row>
    <row r="65" spans="1:15" ht="15.75" customHeight="1">
      <c r="A65" s="61" t="s">
        <v>295</v>
      </c>
      <c r="B65" s="136">
        <f>ROUNDUP('CACHARI 2'!B65,0)</f>
        <v>0</v>
      </c>
      <c r="C65" s="136">
        <f>ROUNDUP('CACHARI 2'!C65,0)</f>
        <v>0</v>
      </c>
      <c r="D65" s="136">
        <f>ROUNDUP('CACHARI 2'!D65,0)</f>
        <v>0</v>
      </c>
      <c r="E65" s="136">
        <f>ROUNDUP('CACHARI 2'!E65,0)</f>
        <v>0</v>
      </c>
      <c r="F65" s="136">
        <f>ROUNDUP('CACHARI 2'!F65,0)</f>
        <v>0</v>
      </c>
      <c r="G65" s="136">
        <f>ROUNDUP('CACHARI 2'!G65,0)</f>
        <v>0</v>
      </c>
      <c r="H65" s="136">
        <f>ROUNDUP('CACHARI 2'!H65,0)</f>
        <v>0</v>
      </c>
      <c r="I65" s="136">
        <f>ROUNDUP('CACHARI 2'!I65,0)</f>
        <v>0</v>
      </c>
      <c r="J65" s="136">
        <f>ROUNDUP('CACHARI 2'!J65,0)</f>
        <v>0</v>
      </c>
      <c r="K65" s="136">
        <f>ROUNDUP('CACHARI 2'!K65,0)</f>
        <v>0</v>
      </c>
      <c r="L65" s="136">
        <f>ROUNDUP('CACHARI 2'!L65,0)</f>
        <v>0</v>
      </c>
      <c r="M65" s="136">
        <f>ROUNDUP('CACHARI 2'!M65,0)</f>
        <v>0</v>
      </c>
      <c r="N65" s="136">
        <f>ROUNDUP('CACHARI 2'!N65,0)</f>
        <v>0</v>
      </c>
      <c r="O65" s="136">
        <f>ROUNDUP('CACHARI 2'!O65,0)</f>
        <v>0</v>
      </c>
    </row>
    <row r="66" spans="1:15" ht="15.75" customHeight="1">
      <c r="A66" s="61" t="s">
        <v>105</v>
      </c>
      <c r="B66" s="136">
        <f>ROUNDUP('CACHARI 2'!B66,0)</f>
        <v>0</v>
      </c>
      <c r="C66" s="136">
        <f>ROUNDUP('CACHARI 2'!C66,0)</f>
        <v>0</v>
      </c>
      <c r="D66" s="136">
        <f>ROUNDUP('CACHARI 2'!D66,0)</f>
        <v>0</v>
      </c>
      <c r="E66" s="136">
        <f>ROUNDUP('CACHARI 2'!E66,0)</f>
        <v>0</v>
      </c>
      <c r="F66" s="136">
        <f>ROUNDUP('CACHARI 2'!F66,0)</f>
        <v>0</v>
      </c>
      <c r="G66" s="136">
        <f>ROUNDUP('CACHARI 2'!G66,0)</f>
        <v>0</v>
      </c>
      <c r="H66" s="136">
        <f>ROUNDUP('CACHARI 2'!H66,0)</f>
        <v>0</v>
      </c>
      <c r="I66" s="136">
        <f>ROUNDUP('CACHARI 2'!I66,0)</f>
        <v>1</v>
      </c>
      <c r="J66" s="136">
        <f>ROUNDUP('CACHARI 2'!J66,0)</f>
        <v>0</v>
      </c>
      <c r="K66" s="136">
        <f>ROUNDUP('CACHARI 2'!K66,0)</f>
        <v>0</v>
      </c>
      <c r="L66" s="136">
        <f>ROUNDUP('CACHARI 2'!L66,0)</f>
        <v>1</v>
      </c>
      <c r="M66" s="136">
        <v>0</v>
      </c>
      <c r="N66" s="136">
        <f>ROUNDUP('CACHARI 2'!N66,0)</f>
        <v>1</v>
      </c>
      <c r="O66" s="136">
        <f>ROUNDUP('CACHARI 2'!O66,0)</f>
        <v>0</v>
      </c>
    </row>
    <row r="67" spans="1:15" ht="15.75" customHeight="1">
      <c r="A67" s="61" t="s">
        <v>296</v>
      </c>
      <c r="B67" s="136">
        <f>ROUNDUP('CACHARI 2'!B67,0)</f>
        <v>0</v>
      </c>
      <c r="C67" s="136">
        <f>ROUNDUP('CACHARI 2'!C67,0)</f>
        <v>0</v>
      </c>
      <c r="D67" s="136">
        <f>ROUNDUP('CACHARI 2'!D67,0)</f>
        <v>0</v>
      </c>
      <c r="E67" s="136">
        <f>ROUNDUP('CACHARI 2'!E67,0)</f>
        <v>0</v>
      </c>
      <c r="F67" s="136">
        <f>ROUNDUP('CACHARI 2'!F67,0)</f>
        <v>0</v>
      </c>
      <c r="G67" s="136">
        <f>ROUNDUP('CACHARI 2'!G67,0)</f>
        <v>0</v>
      </c>
      <c r="H67" s="136">
        <f>ROUNDUP('CACHARI 2'!H67,0)</f>
        <v>0</v>
      </c>
      <c r="I67" s="136">
        <f>ROUNDUP('CACHARI 2'!I67,0)</f>
        <v>1</v>
      </c>
      <c r="J67" s="136">
        <f>ROUNDUP('CACHARI 2'!J67,0)</f>
        <v>0</v>
      </c>
      <c r="K67" s="136">
        <f>ROUNDUP('CACHARI 2'!K67,0)</f>
        <v>0</v>
      </c>
      <c r="L67" s="136">
        <f>ROUNDUP('CACHARI 2'!L67,0)</f>
        <v>1</v>
      </c>
      <c r="M67" s="136">
        <f>ROUNDUP('CACHARI 2'!M67,0)</f>
        <v>1</v>
      </c>
      <c r="N67" s="136">
        <f>ROUNDUP('CACHARI 2'!N67,0)</f>
        <v>1</v>
      </c>
      <c r="O67" s="136">
        <f>ROUNDUP('CACHARI 2'!O67,0)</f>
        <v>0</v>
      </c>
    </row>
    <row r="68" spans="1:15" ht="15.75" customHeight="1">
      <c r="A68" s="61" t="s">
        <v>297</v>
      </c>
      <c r="B68" s="136">
        <f>ROUNDUP('CACHARI 2'!B68,0)</f>
        <v>0</v>
      </c>
      <c r="C68" s="136">
        <f>ROUNDUP('CACHARI 2'!C68,0)</f>
        <v>0</v>
      </c>
      <c r="D68" s="136">
        <f>ROUNDUP('CACHARI 2'!D68,0)</f>
        <v>0</v>
      </c>
      <c r="E68" s="136">
        <f>ROUNDUP('CACHARI 2'!E68,0)</f>
        <v>0</v>
      </c>
      <c r="F68" s="136">
        <f>ROUNDUP('CACHARI 2'!F68,0)</f>
        <v>0</v>
      </c>
      <c r="G68" s="136">
        <f>ROUNDUP('CACHARI 2'!G68,0)</f>
        <v>0</v>
      </c>
      <c r="H68" s="136">
        <f>ROUNDUP('CACHARI 2'!H68,0)</f>
        <v>0</v>
      </c>
      <c r="I68" s="136">
        <f>ROUNDUP('CACHARI 2'!I68,0)</f>
        <v>1</v>
      </c>
      <c r="J68" s="136">
        <f>ROUNDUP('CACHARI 2'!J68,0)</f>
        <v>0</v>
      </c>
      <c r="K68" s="136">
        <f>ROUNDUP('CACHARI 2'!K68,0)</f>
        <v>0</v>
      </c>
      <c r="L68" s="136">
        <f>ROUNDUP('CACHARI 2'!L68,0)</f>
        <v>1</v>
      </c>
      <c r="M68" s="136">
        <f>ROUNDUP('CACHARI 2'!M68,0)</f>
        <v>19</v>
      </c>
      <c r="N68" s="136">
        <f>ROUNDUP('CACHARI 2'!N68,0)</f>
        <v>2</v>
      </c>
      <c r="O68" s="136">
        <f>ROUNDUP('CACHARI 2'!O68,0)</f>
        <v>0</v>
      </c>
    </row>
    <row r="69" spans="1:15" ht="15.75" customHeight="1">
      <c r="A69" s="61" t="s">
        <v>298</v>
      </c>
      <c r="B69" s="137">
        <f>ROUNDUP('CACHARI 2'!B69,0)</f>
        <v>0</v>
      </c>
      <c r="C69" s="137">
        <f>ROUNDUP('CACHARI 2'!C69,0)</f>
        <v>0</v>
      </c>
      <c r="D69" s="137">
        <f>ROUNDUP('CACHARI 2'!D69,0)</f>
        <v>0</v>
      </c>
      <c r="E69" s="137">
        <f>ROUNDUP('CACHARI 2'!E69,0)</f>
        <v>0</v>
      </c>
      <c r="F69" s="137">
        <f>ROUNDUP('CACHARI 2'!F69,0)</f>
        <v>0</v>
      </c>
      <c r="G69" s="137">
        <f>ROUNDUP('CACHARI 2'!G69,0)</f>
        <v>0</v>
      </c>
      <c r="H69" s="137">
        <f>ROUNDUP('CACHARI 2'!H69,0)</f>
        <v>0</v>
      </c>
      <c r="I69" s="137">
        <f>ROUNDUP('CACHARI 2'!I69,0)</f>
        <v>1</v>
      </c>
      <c r="J69" s="137">
        <f>ROUNDUP('CACHARI 2'!J69,0)</f>
        <v>0</v>
      </c>
      <c r="K69" s="137">
        <f>ROUNDUP('CACHARI 2'!K69,0)</f>
        <v>0</v>
      </c>
      <c r="L69" s="137">
        <f>ROUNDUP('CACHARI 2'!L69,0)</f>
        <v>1</v>
      </c>
      <c r="M69" s="137">
        <v>0</v>
      </c>
      <c r="N69" s="137">
        <f>ROUNDUP('CACHARI 2'!N69,0)</f>
        <v>2</v>
      </c>
      <c r="O69" s="137">
        <f>ROUNDUP('CACHARI 2'!O69,0)</f>
        <v>0</v>
      </c>
    </row>
    <row r="70" spans="1:15" ht="15.75" customHeight="1">
      <c r="A70" s="61" t="s">
        <v>303</v>
      </c>
      <c r="B70" s="137">
        <f>ROUNDUP('CACHARI 2'!B70,0)</f>
        <v>0</v>
      </c>
      <c r="C70" s="137">
        <f>ROUNDUP('CACHARI 2'!C70,0)</f>
        <v>0</v>
      </c>
      <c r="D70" s="137">
        <f>ROUNDUP('CACHARI 2'!D70,0)</f>
        <v>0</v>
      </c>
      <c r="E70" s="137">
        <f>ROUNDUP('CACHARI 2'!E70,0)</f>
        <v>0</v>
      </c>
      <c r="F70" s="137">
        <f>ROUNDUP('CACHARI 2'!F70,0)</f>
        <v>0</v>
      </c>
      <c r="G70" s="137">
        <f>ROUNDUP('CACHARI 2'!G70,0)</f>
        <v>0</v>
      </c>
      <c r="H70" s="137">
        <f>ROUNDUP('CACHARI 2'!H70,0)</f>
        <v>0</v>
      </c>
      <c r="I70" s="137">
        <f>ROUNDUP('CACHARI 2'!I70,0)</f>
        <v>1</v>
      </c>
      <c r="J70" s="137">
        <f>ROUNDUP('CACHARI 2'!J70,0)</f>
        <v>0</v>
      </c>
      <c r="K70" s="137">
        <f>ROUNDUP('CACHARI 2'!K70,0)</f>
        <v>0</v>
      </c>
      <c r="L70" s="137">
        <f>ROUNDUP('CACHARI 2'!L70,0)</f>
        <v>1</v>
      </c>
      <c r="M70" s="137">
        <v>0</v>
      </c>
      <c r="N70" s="137">
        <f>ROUNDUP('CACHARI 2'!N70,0)</f>
        <v>1</v>
      </c>
      <c r="O70" s="137">
        <f>ROUNDUP('CACHARI 2'!O70,0)</f>
        <v>0</v>
      </c>
    </row>
    <row r="71" spans="1:15" ht="15.75" customHeight="1">
      <c r="A71" s="61" t="s">
        <v>304</v>
      </c>
      <c r="B71" s="137">
        <f>ROUNDUP('CACHARI 2'!B71,0)</f>
        <v>0</v>
      </c>
      <c r="C71" s="137">
        <f>ROUNDUP('CACHARI 2'!C71,0)</f>
        <v>0</v>
      </c>
      <c r="D71" s="137">
        <f>ROUNDUP('CACHARI 2'!D71,0)</f>
        <v>0</v>
      </c>
      <c r="E71" s="137">
        <f>ROUNDUP('CACHARI 2'!E71,0)</f>
        <v>0</v>
      </c>
      <c r="F71" s="137">
        <f>ROUNDUP('CACHARI 2'!F71,0)</f>
        <v>0</v>
      </c>
      <c r="G71" s="137">
        <f>ROUNDUP('CACHARI 2'!G71,0)</f>
        <v>0</v>
      </c>
      <c r="H71" s="137">
        <f>ROUNDUP('CACHARI 2'!H71,0)</f>
        <v>0</v>
      </c>
      <c r="I71" s="137">
        <f>ROUNDUP('CACHARI 2'!I71,0)</f>
        <v>1</v>
      </c>
      <c r="J71" s="137">
        <f>ROUNDUP('CACHARI 2'!J71,0)</f>
        <v>0</v>
      </c>
      <c r="K71" s="137">
        <f>ROUNDUP('CACHARI 2'!K71,0)</f>
        <v>0</v>
      </c>
      <c r="L71" s="137">
        <f>ROUNDUP('CACHARI 2'!L71,0)</f>
        <v>1</v>
      </c>
      <c r="M71" s="137">
        <v>0</v>
      </c>
      <c r="N71" s="137">
        <f>ROUNDUP('CACHARI 2'!N71,0)</f>
        <v>1</v>
      </c>
      <c r="O71" s="137">
        <f>ROUNDUP('CACHARI 2'!O71,0)</f>
        <v>0</v>
      </c>
    </row>
    <row r="72" spans="1:15" ht="15.75" customHeight="1">
      <c r="A72" s="61" t="s">
        <v>111</v>
      </c>
      <c r="B72" s="137">
        <f>ROUNDUP('CACHARI 2'!B72,0)</f>
        <v>0</v>
      </c>
      <c r="C72" s="137">
        <f>ROUNDUP('CACHARI 2'!C72,0)</f>
        <v>0</v>
      </c>
      <c r="D72" s="137">
        <f>ROUNDUP('CACHARI 2'!D72,0)</f>
        <v>0</v>
      </c>
      <c r="E72" s="137">
        <f>ROUNDUP('CACHARI 2'!E72,0)</f>
        <v>0</v>
      </c>
      <c r="F72" s="137">
        <f>ROUNDUP('CACHARI 2'!F72,0)</f>
        <v>0</v>
      </c>
      <c r="G72" s="137">
        <f>ROUNDUP('CACHARI 2'!G72,0)</f>
        <v>0</v>
      </c>
      <c r="H72" s="137">
        <f>ROUNDUP('CACHARI 2'!H72,0)</f>
        <v>0</v>
      </c>
      <c r="I72" s="137">
        <v>0</v>
      </c>
      <c r="J72" s="137">
        <f>ROUNDUP('CACHARI 2'!J72,0)</f>
        <v>0</v>
      </c>
      <c r="K72" s="137">
        <f>ROUNDUP('CACHARI 2'!K72,0)</f>
        <v>0</v>
      </c>
      <c r="L72" s="137">
        <f>ROUNDUP('CACHARI 2'!L72,0)</f>
        <v>0</v>
      </c>
      <c r="M72" s="137">
        <v>0</v>
      </c>
      <c r="N72" s="137">
        <f>ROUNDUP('CACHARI 2'!N72,0)</f>
        <v>0</v>
      </c>
      <c r="O72" s="137">
        <f>ROUNDUP('CACHARI 2'!O72,0)</f>
        <v>0</v>
      </c>
    </row>
    <row r="73" spans="1:15" ht="15.75" customHeight="1">
      <c r="A73" s="61" t="s">
        <v>112</v>
      </c>
      <c r="B73" s="137">
        <f>ROUNDUP('CACHARI 2'!B73,0)</f>
        <v>0</v>
      </c>
      <c r="C73" s="137">
        <f>ROUNDUP('CACHARI 2'!C73,0)</f>
        <v>0</v>
      </c>
      <c r="D73" s="137">
        <f>ROUNDUP('CACHARI 2'!D73,0)</f>
        <v>0</v>
      </c>
      <c r="E73" s="137">
        <f>ROUNDUP('CACHARI 2'!E73,0)</f>
        <v>0</v>
      </c>
      <c r="F73" s="137">
        <f>ROUNDUP('CACHARI 2'!F73,0)</f>
        <v>0</v>
      </c>
      <c r="G73" s="137">
        <f>ROUNDUP('CACHARI 2'!G73,0)</f>
        <v>0</v>
      </c>
      <c r="H73" s="137">
        <f>ROUNDUP('CACHARI 2'!H73,0)</f>
        <v>0</v>
      </c>
      <c r="I73" s="137">
        <f>ROUNDUP('CACHARI 2'!I73,0)</f>
        <v>1</v>
      </c>
      <c r="J73" s="137">
        <f>ROUNDUP('CACHARI 2'!J73,0)</f>
        <v>0</v>
      </c>
      <c r="K73" s="137">
        <f>ROUNDUP('CACHARI 2'!K73,0)</f>
        <v>0</v>
      </c>
      <c r="L73" s="137">
        <f>ROUNDUP('CACHARI 2'!L73,0)</f>
        <v>1</v>
      </c>
      <c r="M73" s="137">
        <f>ROUNDUP('CACHARI 2'!M73,0)</f>
        <v>7</v>
      </c>
      <c r="N73" s="137">
        <f>ROUNDUP('CACHARI 2'!N73,0)</f>
        <v>1</v>
      </c>
      <c r="O73" s="137">
        <f>ROUNDUP('CACHARI 2'!O73,0)</f>
        <v>0</v>
      </c>
    </row>
    <row r="74" spans="1:15" ht="15.75" customHeight="1">
      <c r="A74" s="61" t="s">
        <v>113</v>
      </c>
      <c r="B74" s="137">
        <f>ROUNDUP('CACHARI 2'!B74,0)</f>
        <v>0</v>
      </c>
      <c r="C74" s="137">
        <f>ROUNDUP('CACHARI 2'!C74,0)</f>
        <v>0</v>
      </c>
      <c r="D74" s="137">
        <f>ROUNDUP('CACHARI 2'!D74,0)</f>
        <v>0</v>
      </c>
      <c r="E74" s="137">
        <f>ROUNDUP('CACHARI 2'!E74,0)</f>
        <v>0</v>
      </c>
      <c r="F74" s="137">
        <f>ROUNDUP('CACHARI 2'!F74,0)</f>
        <v>0</v>
      </c>
      <c r="G74" s="137">
        <f>ROUNDUP('CACHARI 2'!G74,0)</f>
        <v>0</v>
      </c>
      <c r="H74" s="137">
        <f>ROUNDUP('CACHARI 2'!H74,0)</f>
        <v>0</v>
      </c>
      <c r="I74" s="137">
        <f>ROUNDUP('CACHARI 2'!I74,0)</f>
        <v>1</v>
      </c>
      <c r="J74" s="137">
        <f>ROUNDUP('CACHARI 2'!J74,0)</f>
        <v>0</v>
      </c>
      <c r="K74" s="137">
        <f>ROUNDUP('CACHARI 2'!K74,0)</f>
        <v>0</v>
      </c>
      <c r="L74" s="137">
        <f>ROUNDUP('CACHARI 2'!L74,0)</f>
        <v>1</v>
      </c>
      <c r="M74" s="137">
        <f>ROUNDUP('CACHARI 2'!M74,0)</f>
        <v>10</v>
      </c>
      <c r="N74" s="137">
        <f>ROUNDUP('CACHARI 2'!N74,0)</f>
        <v>1</v>
      </c>
      <c r="O74" s="137">
        <f>ROUNDUP('CACHARI 2'!O74,0)</f>
        <v>0</v>
      </c>
    </row>
    <row r="75" spans="1:15" ht="15.75" customHeight="1">
      <c r="A75" s="61" t="s">
        <v>305</v>
      </c>
      <c r="B75" s="137">
        <f>ROUNDUP('CACHARI 2'!B75,0)</f>
        <v>0</v>
      </c>
      <c r="C75" s="137">
        <f>ROUNDUP('CACHARI 2'!C75,0)</f>
        <v>0</v>
      </c>
      <c r="D75" s="137">
        <f>ROUNDUP('CACHARI 2'!D75,0)</f>
        <v>0</v>
      </c>
      <c r="E75" s="137">
        <f>ROUNDUP('CACHARI 2'!E75,0)</f>
        <v>0</v>
      </c>
      <c r="F75" s="137">
        <f>ROUNDUP('CACHARI 2'!F75,0)</f>
        <v>0</v>
      </c>
      <c r="G75" s="137">
        <f>ROUNDUP('CACHARI 2'!G75,0)</f>
        <v>0</v>
      </c>
      <c r="H75" s="137">
        <f>ROUNDUP('CACHARI 2'!H75,0)</f>
        <v>0</v>
      </c>
      <c r="I75" s="137">
        <f>ROUNDUP('CACHARI 2'!I75,0)</f>
        <v>1</v>
      </c>
      <c r="J75" s="137">
        <f>ROUNDUP('CACHARI 2'!J75,0)</f>
        <v>0</v>
      </c>
      <c r="K75" s="137">
        <f>ROUNDUP('CACHARI 2'!K75,0)</f>
        <v>0</v>
      </c>
      <c r="L75" s="137">
        <f>ROUNDUP('CACHARI 2'!L75,0)</f>
        <v>1</v>
      </c>
      <c r="M75" s="137">
        <f>ROUNDUP('CACHARI 2'!M75,0)</f>
        <v>3</v>
      </c>
      <c r="N75" s="137">
        <f>ROUNDUP('CACHARI 2'!N75,0)</f>
        <v>1</v>
      </c>
      <c r="O75" s="137">
        <f>ROUNDUP('CACHARI 2'!O75,0)</f>
        <v>0</v>
      </c>
    </row>
    <row r="76" spans="1:15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ht="15.75" customHeight="1">
      <c r="A78" s="2" t="s">
        <v>299</v>
      </c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ht="15.75" customHeight="1">
      <c r="A79" s="134" t="s">
        <v>300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ht="15.75" customHeight="1">
      <c r="A81" s="111"/>
      <c r="B81" s="61" t="s">
        <v>263</v>
      </c>
      <c r="C81" s="61" t="s">
        <v>264</v>
      </c>
      <c r="D81" s="61" t="s">
        <v>265</v>
      </c>
      <c r="E81" s="61" t="s">
        <v>266</v>
      </c>
      <c r="F81" s="61" t="s">
        <v>267</v>
      </c>
      <c r="G81" s="61" t="s">
        <v>268</v>
      </c>
      <c r="H81" s="61" t="s">
        <v>269</v>
      </c>
      <c r="I81" s="61" t="s">
        <v>270</v>
      </c>
      <c r="J81" s="61" t="s">
        <v>271</v>
      </c>
      <c r="K81" s="61" t="s">
        <v>272</v>
      </c>
      <c r="L81" s="61" t="s">
        <v>273</v>
      </c>
      <c r="M81" s="61" t="s">
        <v>274</v>
      </c>
      <c r="N81" s="61" t="s">
        <v>275</v>
      </c>
      <c r="O81" s="61" t="s">
        <v>276</v>
      </c>
    </row>
    <row r="82" spans="1:15" ht="15.75" customHeight="1">
      <c r="A82" s="122" t="s">
        <v>277</v>
      </c>
      <c r="B82" s="123">
        <v>111</v>
      </c>
      <c r="C82" s="123">
        <v>6</v>
      </c>
      <c r="D82" s="123">
        <v>5</v>
      </c>
      <c r="E82" s="123">
        <v>35</v>
      </c>
      <c r="F82" s="123">
        <v>123</v>
      </c>
      <c r="G82" s="123">
        <v>3</v>
      </c>
      <c r="H82" s="123">
        <v>3</v>
      </c>
      <c r="I82" s="123">
        <v>5</v>
      </c>
      <c r="J82" s="123">
        <v>4</v>
      </c>
      <c r="K82" s="123">
        <v>4</v>
      </c>
      <c r="L82" s="123">
        <v>12</v>
      </c>
      <c r="M82" s="123">
        <v>130</v>
      </c>
      <c r="N82" s="123">
        <v>24</v>
      </c>
      <c r="O82" s="123">
        <v>171</v>
      </c>
    </row>
    <row r="83" spans="1:15" ht="15.75" customHeight="1">
      <c r="A83" s="122" t="s">
        <v>278</v>
      </c>
      <c r="B83" s="123">
        <v>0</v>
      </c>
      <c r="C83" s="123">
        <v>0</v>
      </c>
      <c r="D83" s="123">
        <v>0</v>
      </c>
      <c r="E83" s="123">
        <v>0</v>
      </c>
      <c r="F83" s="123">
        <v>0</v>
      </c>
      <c r="G83" s="123">
        <v>0</v>
      </c>
      <c r="H83" s="123">
        <v>0</v>
      </c>
      <c r="I83" s="123">
        <v>2</v>
      </c>
      <c r="J83" s="123">
        <v>0</v>
      </c>
      <c r="K83" s="123">
        <v>0</v>
      </c>
      <c r="L83" s="123">
        <v>6</v>
      </c>
      <c r="M83" s="123">
        <v>130</v>
      </c>
      <c r="N83" s="123">
        <v>12</v>
      </c>
      <c r="O83" s="123">
        <v>0</v>
      </c>
    </row>
    <row r="84" spans="1:15" ht="15.75" customHeight="1">
      <c r="A84" s="61" t="s">
        <v>170</v>
      </c>
      <c r="B84" s="136">
        <f>ROUNDUP('CACHARI 2'!B84,0)</f>
        <v>0</v>
      </c>
      <c r="C84" s="136">
        <f>ROUNDUP('CACHARI 2'!C84,0)</f>
        <v>0</v>
      </c>
      <c r="D84" s="136">
        <f>ROUNDUP('CACHARI 2'!D84,0)</f>
        <v>0</v>
      </c>
      <c r="E84" s="136">
        <f>ROUNDUP('CACHARI 2'!E84,0)</f>
        <v>0</v>
      </c>
      <c r="F84" s="136">
        <f>ROUNDUP('CACHARI 2'!F84,0)</f>
        <v>0</v>
      </c>
      <c r="G84" s="136">
        <f>ROUNDUP('CACHARI 2'!G84,0)</f>
        <v>0</v>
      </c>
      <c r="H84" s="136">
        <f>ROUNDUP('CACHARI 2'!H84,0)</f>
        <v>0</v>
      </c>
      <c r="I84" s="136">
        <f>ROUNDUP('CACHARI 2'!I84,0)</f>
        <v>1</v>
      </c>
      <c r="J84" s="136">
        <f>ROUNDUP('CACHARI 2'!J84,0)</f>
        <v>0</v>
      </c>
      <c r="K84" s="136">
        <f>ROUNDUP('CACHARI 2'!K84,0)</f>
        <v>0</v>
      </c>
      <c r="L84" s="136">
        <f>ROUNDUP('CACHARI 2'!L84,0)</f>
        <v>1</v>
      </c>
      <c r="M84" s="136">
        <f>ROUNDUP('CACHARI 2'!M84,0)</f>
        <v>13</v>
      </c>
      <c r="N84" s="136">
        <f>ROUNDUP('CACHARI 2'!N84,0)</f>
        <v>2</v>
      </c>
      <c r="O84" s="136">
        <f>ROUNDUP('CACHARI 2'!O84,0)</f>
        <v>0</v>
      </c>
    </row>
    <row r="85" spans="1:15" ht="15.75" customHeight="1">
      <c r="A85" s="61" t="s">
        <v>171</v>
      </c>
      <c r="B85" s="136">
        <f>ROUNDUP('CACHARI 2'!B85,0)</f>
        <v>0</v>
      </c>
      <c r="C85" s="136">
        <f>ROUNDUP('CACHARI 2'!C85,0)</f>
        <v>0</v>
      </c>
      <c r="D85" s="136">
        <f>ROUNDUP('CACHARI 2'!D85,0)</f>
        <v>0</v>
      </c>
      <c r="E85" s="136">
        <f>ROUNDUP('CACHARI 2'!E85,0)</f>
        <v>0</v>
      </c>
      <c r="F85" s="136">
        <f>ROUNDUP('CACHARI 2'!F85,0)</f>
        <v>0</v>
      </c>
      <c r="G85" s="136">
        <f>ROUNDUP('CACHARI 2'!G85,0)</f>
        <v>0</v>
      </c>
      <c r="H85" s="136">
        <f>ROUNDUP('CACHARI 2'!H85,0)</f>
        <v>0</v>
      </c>
      <c r="I85" s="136">
        <f>ROUNDUP('CACHARI 2'!I85,0)</f>
        <v>1</v>
      </c>
      <c r="J85" s="136">
        <f>ROUNDUP('CACHARI 2'!J85,0)</f>
        <v>0</v>
      </c>
      <c r="K85" s="136">
        <f>ROUNDUP('CACHARI 2'!K85,0)</f>
        <v>0</v>
      </c>
      <c r="L85" s="136">
        <f>ROUNDUP('CACHARI 2'!L85,0)</f>
        <v>1</v>
      </c>
      <c r="M85" s="136">
        <f>ROUNDUP('CACHARI 2'!M85,0)</f>
        <v>18</v>
      </c>
      <c r="N85" s="136">
        <f>ROUNDUP('CACHARI 2'!N85,0)</f>
        <v>2</v>
      </c>
      <c r="O85" s="136">
        <f>ROUNDUP('CACHARI 2'!O85,0)</f>
        <v>0</v>
      </c>
    </row>
    <row r="86" spans="1:15" ht="15.75" customHeight="1">
      <c r="A86" s="61" t="s">
        <v>172</v>
      </c>
      <c r="B86" s="136">
        <f>ROUNDUP('CACHARI 2'!B86,0)</f>
        <v>0</v>
      </c>
      <c r="C86" s="136">
        <f>ROUNDUP('CACHARI 2'!C86,0)</f>
        <v>0</v>
      </c>
      <c r="D86" s="136">
        <f>ROUNDUP('CACHARI 2'!D86,0)</f>
        <v>0</v>
      </c>
      <c r="E86" s="136">
        <f>ROUNDUP('CACHARI 2'!E86,0)</f>
        <v>0</v>
      </c>
      <c r="F86" s="136">
        <f>ROUNDUP('CACHARI 2'!F86,0)</f>
        <v>0</v>
      </c>
      <c r="G86" s="136">
        <f>ROUNDUP('CACHARI 2'!G86,0)</f>
        <v>0</v>
      </c>
      <c r="H86" s="136">
        <f>ROUNDUP('CACHARI 2'!H86,0)</f>
        <v>0</v>
      </c>
      <c r="I86" s="136">
        <f>ROUNDUP('CACHARI 2'!I86,0)</f>
        <v>1</v>
      </c>
      <c r="J86" s="136">
        <f>ROUNDUP('CACHARI 2'!J86,0)</f>
        <v>0</v>
      </c>
      <c r="K86" s="136">
        <f>ROUNDUP('CACHARI 2'!K86,0)</f>
        <v>0</v>
      </c>
      <c r="L86" s="136">
        <f>ROUNDUP('CACHARI 2'!L86,0)</f>
        <v>1</v>
      </c>
      <c r="M86" s="136">
        <f>ROUNDUP('CACHARI 2'!M86,0)</f>
        <v>13</v>
      </c>
      <c r="N86" s="136">
        <f>ROUNDUP('CACHARI 2'!N86,0)</f>
        <v>2</v>
      </c>
      <c r="O86" s="136">
        <f>ROUNDUP('CACHARI 2'!O86,0)</f>
        <v>0</v>
      </c>
    </row>
    <row r="87" spans="1:15" ht="15.75" customHeight="1"/>
    <row r="88" spans="1:15" ht="15.75" customHeight="1"/>
    <row r="89" spans="1:15" ht="15.75" customHeight="1"/>
    <row r="90" spans="1:15" ht="15.75" customHeight="1"/>
    <row r="91" spans="1:15" ht="15.75" customHeight="1"/>
    <row r="92" spans="1:15" ht="15.75" customHeight="1"/>
    <row r="93" spans="1:15" ht="15.75" customHeight="1"/>
    <row r="94" spans="1:15" ht="15.75" customHeight="1"/>
    <row r="95" spans="1:15" ht="15.75" customHeight="1"/>
    <row r="96" spans="1:1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">
    <mergeCell ref="A8:B8"/>
  </mergeCells>
  <pageMargins left="0.25" right="0.25" top="0.75" bottom="0.75" header="0" footer="0"/>
  <pageSetup paperSize="3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Z1006"/>
  <sheetViews>
    <sheetView topLeftCell="A66" zoomScale="90" zoomScaleNormal="90" workbookViewId="0">
      <selection activeCell="B12" sqref="B12:I13"/>
    </sheetView>
  </sheetViews>
  <sheetFormatPr baseColWidth="10" defaultColWidth="14.42578125" defaultRowHeight="15" customHeight="1"/>
  <cols>
    <col min="1" max="1" width="53" customWidth="1"/>
    <col min="2" max="4" width="10.7109375" customWidth="1"/>
    <col min="5" max="5" width="14.28515625" customWidth="1"/>
    <col min="6" max="8" width="10.7109375" customWidth="1"/>
    <col min="9" max="9" width="17.7109375" customWidth="1"/>
    <col min="10" max="10" width="10.7109375" customWidth="1"/>
    <col min="11" max="11" width="12.5703125" customWidth="1"/>
    <col min="12" max="12" width="15.28515625" customWidth="1"/>
    <col min="13" max="15" width="10.7109375" customWidth="1"/>
    <col min="16" max="16" width="15.85546875" customWidth="1"/>
    <col min="17" max="24" width="10.7109375" customWidth="1"/>
  </cols>
  <sheetData>
    <row r="1" spans="1:26" ht="15.7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6" ht="15.7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26" ht="15.7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ht="15.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6" ht="15.75">
      <c r="A5" s="2" t="s">
        <v>306</v>
      </c>
      <c r="B5" s="3"/>
      <c r="C5" s="1"/>
      <c r="D5" s="1"/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26" ht="15.75">
      <c r="A6" s="167" t="s">
        <v>1</v>
      </c>
      <c r="B6" s="168"/>
      <c r="C6" s="168"/>
      <c r="D6" s="168"/>
      <c r="E6" s="168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>
      <c r="A7" s="167" t="s">
        <v>2</v>
      </c>
      <c r="B7" s="168"/>
      <c r="C7" s="168"/>
      <c r="D7" s="168"/>
      <c r="E7" s="168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>
      <c r="A8" s="1"/>
      <c r="B8" s="1"/>
      <c r="C8" s="1"/>
      <c r="D8" s="1"/>
      <c r="E8" s="1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26" ht="15.75">
      <c r="A9" s="2" t="s">
        <v>3</v>
      </c>
      <c r="B9" s="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26" ht="15.75">
      <c r="A10" s="2" t="s">
        <v>307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R10" s="1"/>
      <c r="S10" s="1"/>
      <c r="T10" s="1"/>
      <c r="U10" s="1"/>
      <c r="V10" s="1"/>
      <c r="W10" s="1"/>
      <c r="X10" s="1"/>
    </row>
    <row r="11" spans="1:26" ht="15.75">
      <c r="A11" s="111"/>
      <c r="B11" s="138" t="s">
        <v>308</v>
      </c>
      <c r="C11" s="138" t="s">
        <v>309</v>
      </c>
      <c r="D11" s="138" t="s">
        <v>310</v>
      </c>
      <c r="E11" s="138" t="s">
        <v>311</v>
      </c>
      <c r="F11" s="138" t="s">
        <v>312</v>
      </c>
      <c r="G11" s="138" t="s">
        <v>313</v>
      </c>
      <c r="H11" s="138" t="s">
        <v>314</v>
      </c>
      <c r="I11" s="138" t="s">
        <v>315</v>
      </c>
      <c r="J11" s="61" t="s">
        <v>33</v>
      </c>
      <c r="K11" s="1"/>
      <c r="L11" s="1"/>
      <c r="R11" s="3"/>
      <c r="S11" s="3"/>
      <c r="T11" s="3"/>
      <c r="U11" s="3"/>
      <c r="V11" s="3"/>
      <c r="W11" s="3"/>
      <c r="X11" s="3"/>
    </row>
    <row r="12" spans="1:26" ht="15.75">
      <c r="A12" s="122" t="s">
        <v>277</v>
      </c>
      <c r="B12" s="123">
        <v>138</v>
      </c>
      <c r="C12" s="123">
        <v>147</v>
      </c>
      <c r="D12" s="123">
        <v>8</v>
      </c>
      <c r="E12" s="123">
        <v>5</v>
      </c>
      <c r="F12" s="123">
        <v>134</v>
      </c>
      <c r="G12" s="123">
        <v>60</v>
      </c>
      <c r="H12" s="123">
        <v>250</v>
      </c>
      <c r="I12" s="123">
        <v>3</v>
      </c>
      <c r="J12" s="79">
        <f t="shared" ref="J12:J13" si="0">SUM(B12:I12)</f>
        <v>745</v>
      </c>
      <c r="K12" s="1"/>
      <c r="L12" s="1"/>
      <c r="R12" s="3"/>
      <c r="S12" s="3"/>
      <c r="T12" s="3"/>
      <c r="U12" s="3"/>
      <c r="V12" s="3"/>
      <c r="W12" s="3"/>
      <c r="X12" s="3"/>
    </row>
    <row r="13" spans="1:26" ht="15.75">
      <c r="A13" s="122" t="s">
        <v>278</v>
      </c>
      <c r="B13" s="123">
        <v>0</v>
      </c>
      <c r="C13" s="123">
        <v>55</v>
      </c>
      <c r="D13" s="123">
        <v>0</v>
      </c>
      <c r="E13" s="123">
        <v>0</v>
      </c>
      <c r="F13" s="123">
        <v>134</v>
      </c>
      <c r="G13" s="123">
        <v>21</v>
      </c>
      <c r="H13" s="123">
        <v>0</v>
      </c>
      <c r="I13" s="123">
        <v>0</v>
      </c>
      <c r="J13" s="79">
        <f t="shared" si="0"/>
        <v>210</v>
      </c>
      <c r="K13" s="1" t="s">
        <v>18</v>
      </c>
      <c r="L13" s="1" t="s">
        <v>279</v>
      </c>
      <c r="R13" s="3"/>
      <c r="S13" s="3"/>
      <c r="T13" s="3"/>
      <c r="U13" s="3"/>
      <c r="V13" s="3"/>
      <c r="W13" s="3"/>
      <c r="X13" s="3"/>
    </row>
    <row r="14" spans="1:26" ht="15.75">
      <c r="A14" s="61" t="s">
        <v>20</v>
      </c>
      <c r="B14" s="124">
        <f>PRODUCT(SEMANAL!D6,$B$12)/1000+PRODUCT(SEMANAL!B6,$B$13)/1000</f>
        <v>17.25</v>
      </c>
      <c r="C14" s="124">
        <f>PRODUCT(SEMANAL!D6,$C$12)/1000+PRODUCT(SEMANAL!B6,$C$13)/1000</f>
        <v>24.975000000000001</v>
      </c>
      <c r="D14" s="124">
        <f>PRODUCT(SEMANAL!D6,$D$12)/1000+PRODUCT(SEMANAL!B6,$D$13)/1000</f>
        <v>1</v>
      </c>
      <c r="E14" s="124">
        <f>PRODUCT(SEMANAL!D6,$E$12)/1000+PRODUCT(SEMANAL!B6,$E$13)/1000</f>
        <v>0.625</v>
      </c>
      <c r="F14" s="124">
        <f>PRODUCT(SEMANAL!D6,$F$12)/1000+PRODUCT(SEMANAL!B6,$F$13)/1000</f>
        <v>32.83</v>
      </c>
      <c r="G14" s="124">
        <f>PRODUCT(SEMANAL!D6,$G$12)/1000+PRODUCT(SEMANAL!B6,$G$13)/1000</f>
        <v>10.02</v>
      </c>
      <c r="H14" s="124">
        <f>PRODUCT(SEMANAL!D6,$H$12)/1000+PRODUCT(SEMANAL!B6,$H$13)/1000</f>
        <v>31.25</v>
      </c>
      <c r="I14" s="124">
        <f>PRODUCT(SEMANAL!D6,$I$12)/1000+PRODUCT(SEMANAL!B6,$I$13)/1000</f>
        <v>0.375</v>
      </c>
      <c r="J14" s="119">
        <f>SUM('OC CHILLAR 2'!B16:I16)</f>
        <v>122</v>
      </c>
      <c r="K14" s="1">
        <v>2150</v>
      </c>
      <c r="L14" s="1">
        <f t="shared" ref="L14:L26" si="1">PRODUCT(J14:K14)</f>
        <v>262300</v>
      </c>
      <c r="R14" s="3"/>
      <c r="S14" s="3"/>
      <c r="T14" s="3"/>
      <c r="U14" s="3"/>
      <c r="V14" s="3"/>
      <c r="W14" s="3"/>
      <c r="X14" s="3"/>
    </row>
    <row r="15" spans="1:26" ht="15.75">
      <c r="A15" s="61" t="s">
        <v>21</v>
      </c>
      <c r="B15" s="124">
        <f>PRODUCT(SEMANAL!D7,$B$12)/1000+PRODUCT(SEMANAL!B7,$B$13)/1000</f>
        <v>0</v>
      </c>
      <c r="C15" s="124">
        <f>PRODUCT(SEMANAL!D7,$C$12)/1000+PRODUCT(SEMANAL!B7,$C$13)/1000</f>
        <v>6.6</v>
      </c>
      <c r="D15" s="124">
        <f>PRODUCT(SEMANAL!D7,$D$12)/1000+PRODUCT(SEMANAL!B7,$D$13)/1000</f>
        <v>0</v>
      </c>
      <c r="E15" s="124">
        <f>PRODUCT(SEMANAL!D7,$E$12)/1000+PRODUCT(SEMANAL!B7,$E$13)/1000</f>
        <v>0</v>
      </c>
      <c r="F15" s="124">
        <f>PRODUCT(SEMANAL!D7,$F$12)/1000+PRODUCT(SEMANAL!B7,$F$13)/1000</f>
        <v>16.079999999999998</v>
      </c>
      <c r="G15" s="124">
        <f>PRODUCT(SEMANAL!D7,$G$12)/1000+PRODUCT(SEMANAL!B7,$G$13)/1000</f>
        <v>2.52</v>
      </c>
      <c r="H15" s="124">
        <f>PRODUCT(SEMANAL!D7,$H$12)/1000+PRODUCT(SEMANAL!B7,$H$13)/1000</f>
        <v>0</v>
      </c>
      <c r="I15" s="124">
        <f>PRODUCT(SEMANAL!D7,$I$12)/1000+PRODUCT(SEMANAL!B7,$I$13)/1000</f>
        <v>0</v>
      </c>
      <c r="J15" s="119">
        <f>SUM('OC CHILLAR 2'!B17:I17)</f>
        <v>27</v>
      </c>
      <c r="K15" s="1">
        <v>2100</v>
      </c>
      <c r="L15" s="1">
        <f t="shared" si="1"/>
        <v>56700</v>
      </c>
      <c r="R15" s="3"/>
      <c r="S15" s="3"/>
      <c r="T15" s="3"/>
      <c r="U15" s="3"/>
      <c r="V15" s="3"/>
      <c r="W15" s="3"/>
      <c r="X15" s="3"/>
    </row>
    <row r="16" spans="1:26" ht="15.75">
      <c r="A16" s="61" t="s">
        <v>22</v>
      </c>
      <c r="B16" s="124">
        <f>PRODUCT(SEMANAL!D8,$B$12)/1000+PRODUCT(SEMANAL!B8,$B$13)/1000</f>
        <v>34.5</v>
      </c>
      <c r="C16" s="124">
        <f>PRODUCT(SEMANAL!D8,$C$12)/1000+PRODUCT(SEMANAL!B8,$C$13)/1000</f>
        <v>49.95</v>
      </c>
      <c r="D16" s="124">
        <f>PRODUCT(SEMANAL!D8,$D$12)/1000+PRODUCT(SEMANAL!B8,$D$13)/1000</f>
        <v>2</v>
      </c>
      <c r="E16" s="124">
        <f>PRODUCT(SEMANAL!D8,$E$12)/1000+PRODUCT(SEMANAL!B8,$E$13)/1000</f>
        <v>1.25</v>
      </c>
      <c r="F16" s="124">
        <f>PRODUCT(SEMANAL!D8,$F$12)/1000+PRODUCT(SEMANAL!B8,$F$13)/1000</f>
        <v>65.66</v>
      </c>
      <c r="G16" s="124">
        <f>PRODUCT(SEMANAL!D8,$G$12)/1000+PRODUCT(SEMANAL!B8,$G$13)/1000</f>
        <v>20.04</v>
      </c>
      <c r="H16" s="124">
        <f>PRODUCT(SEMANAL!D8,$H$12)/1000+PRODUCT(SEMANAL!B8,$H$13)/1000</f>
        <v>62.5</v>
      </c>
      <c r="I16" s="124">
        <f>PRODUCT(SEMANAL!D8,$I$12)/1000+PRODUCT(SEMANAL!B8,$I$13)/1000</f>
        <v>0.75</v>
      </c>
      <c r="J16" s="119">
        <f>SUM('OC CHILLAR 2'!B18:I18)</f>
        <v>240</v>
      </c>
      <c r="K16" s="1">
        <v>1150</v>
      </c>
      <c r="L16" s="1">
        <f t="shared" si="1"/>
        <v>276000</v>
      </c>
      <c r="R16" s="3"/>
      <c r="S16" s="3"/>
      <c r="T16" s="3"/>
      <c r="U16" s="3"/>
      <c r="V16" s="3"/>
      <c r="W16" s="3"/>
      <c r="X16" s="3"/>
    </row>
    <row r="17" spans="1:24" ht="15.75">
      <c r="A17" s="61" t="s">
        <v>23</v>
      </c>
      <c r="B17" s="124">
        <f>PRODUCT(SEMANAL!D9,$B$12)/1000+PRODUCT(SEMANAL!B9,$B$13)/1000</f>
        <v>0</v>
      </c>
      <c r="C17" s="124">
        <f>PRODUCT(SEMANAL!D9,$C$12)/1000+PRODUCT(SEMANAL!B9,$C$13)/1000</f>
        <v>0</v>
      </c>
      <c r="D17" s="124">
        <f>PRODUCT(SEMANAL!D9,$D$12)/1000+PRODUCT(SEMANAL!B9,$D$13)/1000</f>
        <v>0</v>
      </c>
      <c r="E17" s="124">
        <f>PRODUCT(SEMANAL!D9,$E$12)/1000+PRODUCT(SEMANAL!B9,$E$13)/1000</f>
        <v>0</v>
      </c>
      <c r="F17" s="124">
        <f>PRODUCT(SEMANAL!D9,$F$12)/1000+PRODUCT(SEMANAL!B9,$F$13)/1000</f>
        <v>0</v>
      </c>
      <c r="G17" s="124">
        <f>PRODUCT(SEMANAL!D9,$G$12)/1000+PRODUCT(SEMANAL!B9,$G$13)/1000</f>
        <v>0</v>
      </c>
      <c r="H17" s="124">
        <f>PRODUCT(SEMANAL!D9,$H$12)/1000+PRODUCT(SEMANAL!B9,$H$13)/1000</f>
        <v>0</v>
      </c>
      <c r="I17" s="124">
        <f>PRODUCT(SEMANAL!D9,$I$12)/1000+PRODUCT(SEMANAL!B9,$I$13)/1000</f>
        <v>0</v>
      </c>
      <c r="J17" s="119">
        <f>SUM('OC CHILLAR 2'!B19:I19)</f>
        <v>0</v>
      </c>
      <c r="K17" s="1">
        <v>1990</v>
      </c>
      <c r="L17" s="1">
        <f t="shared" si="1"/>
        <v>0</v>
      </c>
      <c r="R17" s="3"/>
      <c r="S17" s="3"/>
      <c r="T17" s="3"/>
      <c r="U17" s="3"/>
      <c r="V17" s="3"/>
      <c r="W17" s="3"/>
      <c r="X17" s="3"/>
    </row>
    <row r="18" spans="1:24" ht="15.75">
      <c r="A18" s="61" t="s">
        <v>24</v>
      </c>
      <c r="B18" s="124">
        <f>PRODUCT(SEMANAL!D10,$B$12)/1000+PRODUCT(SEMANAL!B10,$B$13)/1000</f>
        <v>0</v>
      </c>
      <c r="C18" s="124">
        <f>PRODUCT(SEMANAL!D10,$C$12)/1000+PRODUCT(SEMANAL!B10,$C$13)/1000</f>
        <v>7.7</v>
      </c>
      <c r="D18" s="124">
        <f>PRODUCT(SEMANAL!D10,$D$12)/1000+PRODUCT(SEMANAL!B10,$D$13)/1000</f>
        <v>0</v>
      </c>
      <c r="E18" s="124">
        <f>PRODUCT(SEMANAL!D10,$E$12)/1000+PRODUCT(SEMANAL!B10,$E$13)/1000</f>
        <v>0</v>
      </c>
      <c r="F18" s="124">
        <f>PRODUCT(SEMANAL!D10,$F$12)/1000+PRODUCT(SEMANAL!B10,$F$13)/1000</f>
        <v>18.760000000000002</v>
      </c>
      <c r="G18" s="124">
        <f>PRODUCT(SEMANAL!D10,$G$12)/1000+PRODUCT(SEMANAL!B10,$G$13)/1000</f>
        <v>2.94</v>
      </c>
      <c r="H18" s="124">
        <f>PRODUCT(SEMANAL!D10,$H$12)/1000+PRODUCT(SEMANAL!B10,$H$13)/1000</f>
        <v>0</v>
      </c>
      <c r="I18" s="124">
        <f>PRODUCT(SEMANAL!D10,$I$12)/1000+PRODUCT(SEMANAL!B10,$I$13)/1000</f>
        <v>0</v>
      </c>
      <c r="J18" s="119">
        <f>SUM('OC CHILLAR 2'!B20:I20)</f>
        <v>30</v>
      </c>
      <c r="K18" s="1">
        <v>990</v>
      </c>
      <c r="L18" s="1">
        <f t="shared" si="1"/>
        <v>29700</v>
      </c>
      <c r="R18" s="3"/>
      <c r="S18" s="3"/>
      <c r="T18" s="3"/>
      <c r="U18" s="3"/>
      <c r="V18" s="3"/>
      <c r="W18" s="3"/>
      <c r="X18" s="3"/>
    </row>
    <row r="19" spans="1:24" ht="15.75">
      <c r="A19" s="61" t="s">
        <v>25</v>
      </c>
      <c r="B19" s="124">
        <f>PRODUCT(SEMANAL!D11,$B$12)/1000+PRODUCT(SEMANAL!B11,$B$13)/1000</f>
        <v>0</v>
      </c>
      <c r="C19" s="124">
        <f>PRODUCT(SEMANAL!D11,$C$12)/1000+PRODUCT(SEMANAL!B11,$C$13)/1000</f>
        <v>2.75</v>
      </c>
      <c r="D19" s="124">
        <f>PRODUCT(SEMANAL!D11,$D$12)/1000+PRODUCT(SEMANAL!B11,$D$13)/1000</f>
        <v>0</v>
      </c>
      <c r="E19" s="124">
        <f>PRODUCT(SEMANAL!D11,$E$12)/1000+PRODUCT(SEMANAL!B11,$E$13)/1000</f>
        <v>0</v>
      </c>
      <c r="F19" s="124">
        <f>PRODUCT(SEMANAL!D11,$F$12)/1000+PRODUCT(SEMANAL!B11,$F$13)/1000</f>
        <v>6.7</v>
      </c>
      <c r="G19" s="124">
        <f>PRODUCT(SEMANAL!D11,$G$12)/1000+PRODUCT(SEMANAL!B11,$G$13)/1000</f>
        <v>1.05</v>
      </c>
      <c r="H19" s="124">
        <f>PRODUCT(SEMANAL!D11,$H$12)/1000+PRODUCT(SEMANAL!B11,$H$13)/1000</f>
        <v>0</v>
      </c>
      <c r="I19" s="124">
        <f>PRODUCT(SEMANAL!D11,$I$12)/1000+PRODUCT(SEMANAL!B11,$I$13)/1000</f>
        <v>0</v>
      </c>
      <c r="J19" s="119">
        <f>SUM('OC CHILLAR 2'!B21:I21)</f>
        <v>12</v>
      </c>
      <c r="K19" s="1">
        <v>1890</v>
      </c>
      <c r="L19" s="1">
        <f t="shared" si="1"/>
        <v>22680</v>
      </c>
      <c r="R19" s="3"/>
      <c r="S19" s="3"/>
      <c r="T19" s="3"/>
      <c r="U19" s="3"/>
      <c r="V19" s="3"/>
      <c r="W19" s="3"/>
      <c r="X19" s="3"/>
    </row>
    <row r="20" spans="1:24" ht="15.75">
      <c r="A20" s="61" t="s">
        <v>26</v>
      </c>
      <c r="B20" s="124">
        <f>PRODUCT(SEMANAL!D12,$B$12)/1000+PRODUCT(SEMANAL!B12,$B$13)/1000</f>
        <v>0</v>
      </c>
      <c r="C20" s="124">
        <f>PRODUCT(SEMANAL!D12,$C$12)/1000+PRODUCT(SEMANAL!B12,$C$13)/1000</f>
        <v>11</v>
      </c>
      <c r="D20" s="124">
        <f>PRODUCT(SEMANAL!D12,$D$12)/1000+PRODUCT(SEMANAL!B12,$D$13)/1000</f>
        <v>0</v>
      </c>
      <c r="E20" s="124">
        <f>PRODUCT(SEMANAL!D12,$E$12)/1000+PRODUCT(SEMANAL!B12,$E$13)/1000</f>
        <v>0</v>
      </c>
      <c r="F20" s="124">
        <f>PRODUCT(SEMANAL!D12,$F$12)/1000+PRODUCT(SEMANAL!B12,$F$13)/1000</f>
        <v>26.8</v>
      </c>
      <c r="G20" s="124">
        <f>PRODUCT(SEMANAL!D12,$G$12)/1000+PRODUCT(SEMANAL!B12,$G$13)/1000</f>
        <v>4.2</v>
      </c>
      <c r="H20" s="124">
        <f>PRODUCT(SEMANAL!D12,$H$12)/1000+PRODUCT(SEMANAL!B12,$H$13)/1000</f>
        <v>0</v>
      </c>
      <c r="I20" s="124">
        <f>PRODUCT(SEMANAL!D12,$I$12)/1000+PRODUCT(SEMANAL!B12,$I$13)/1000</f>
        <v>0</v>
      </c>
      <c r="J20" s="119">
        <f>SUM('OC CHILLAR 2'!B22:I22)</f>
        <v>43</v>
      </c>
      <c r="K20" s="1">
        <v>890</v>
      </c>
      <c r="L20" s="1">
        <f t="shared" si="1"/>
        <v>38270</v>
      </c>
      <c r="R20" s="3"/>
      <c r="S20" s="3"/>
      <c r="T20" s="3"/>
      <c r="U20" s="3"/>
      <c r="V20" s="3"/>
      <c r="W20" s="3"/>
      <c r="X20" s="3"/>
    </row>
    <row r="21" spans="1:24" ht="15.75" customHeight="1">
      <c r="A21" s="61" t="s">
        <v>27</v>
      </c>
      <c r="B21" s="124">
        <f>PRODUCT(SEMANAL!D13,$B$12)/1000+PRODUCT(SEMANAL!B13,$B$13)/1000</f>
        <v>0</v>
      </c>
      <c r="C21" s="124">
        <f>PRODUCT(SEMANAL!D13,$C$12)/1000+PRODUCT(SEMANAL!B13,$C$13)/1000</f>
        <v>4.125</v>
      </c>
      <c r="D21" s="124">
        <f>PRODUCT(SEMANAL!D13,$D$12)/1000+PRODUCT(SEMANAL!B13,$D$13)/1000</f>
        <v>0</v>
      </c>
      <c r="E21" s="124">
        <f>PRODUCT(SEMANAL!D13,$E$12)/1000+PRODUCT(SEMANAL!B13,$E$13)/1000</f>
        <v>0</v>
      </c>
      <c r="F21" s="124">
        <f>PRODUCT(SEMANAL!D13,$F$12)/1000+PRODUCT(SEMANAL!B13,$F$13)/1000</f>
        <v>10.050000000000001</v>
      </c>
      <c r="G21" s="124">
        <f>PRODUCT(SEMANAL!D13,$G$12)/1000+PRODUCT(SEMANAL!B13,$G$13)/1000</f>
        <v>1.575</v>
      </c>
      <c r="H21" s="124">
        <f>PRODUCT(SEMANAL!D13,$H$12)/1000+PRODUCT(SEMANAL!B13,$H$13)/1000</f>
        <v>0</v>
      </c>
      <c r="I21" s="124">
        <f>PRODUCT(SEMANAL!D13,$I$12)/1000+PRODUCT(SEMANAL!B13,$I$13)/1000</f>
        <v>0</v>
      </c>
      <c r="J21" s="119">
        <f>SUM('OC CHILLAR 2'!B23:I23)</f>
        <v>18</v>
      </c>
      <c r="K21" s="1">
        <v>990</v>
      </c>
      <c r="L21" s="1">
        <f t="shared" si="1"/>
        <v>17820</v>
      </c>
      <c r="R21" s="3"/>
      <c r="S21" s="3"/>
      <c r="T21" s="3"/>
      <c r="U21" s="3"/>
      <c r="V21" s="3"/>
      <c r="W21" s="3"/>
      <c r="X21" s="3"/>
    </row>
    <row r="22" spans="1:24" ht="15.75" customHeight="1">
      <c r="A22" s="61" t="s">
        <v>28</v>
      </c>
      <c r="B22" s="124">
        <f>PRODUCT(SEMANAL!D14,$B$12)/1000+PRODUCT(SEMANAL!B14,$B$13)/1000</f>
        <v>0</v>
      </c>
      <c r="C22" s="124">
        <f>PRODUCT(SEMANAL!D14,$C$12)/1000+PRODUCT(SEMANAL!B14,$C$13)/1000</f>
        <v>2.75</v>
      </c>
      <c r="D22" s="124">
        <f>PRODUCT(SEMANAL!D14,$D$12)/1000+PRODUCT(SEMANAL!B14,$D$13)/1000</f>
        <v>0</v>
      </c>
      <c r="E22" s="124">
        <f>PRODUCT(SEMANAL!D14,$E$12)/1000+PRODUCT(SEMANAL!B14,$E$13)/1000</f>
        <v>0</v>
      </c>
      <c r="F22" s="124">
        <f>PRODUCT(SEMANAL!D14,$F$12)/1000+PRODUCT(SEMANAL!B14,$F$13)/1000</f>
        <v>6.7</v>
      </c>
      <c r="G22" s="124">
        <f>PRODUCT(SEMANAL!D14,$G$12)/1000+PRODUCT(SEMANAL!B14,$G$13)/1000</f>
        <v>1.05</v>
      </c>
      <c r="H22" s="124">
        <f>PRODUCT(SEMANAL!D14,$H$12)/1000+PRODUCT(SEMANAL!B14,$H$13)/1000</f>
        <v>0</v>
      </c>
      <c r="I22" s="124">
        <f>PRODUCT(SEMANAL!D14,$I$12)/1000+PRODUCT(SEMANAL!B14,$I$13)/1000</f>
        <v>0</v>
      </c>
      <c r="J22" s="119">
        <f>SUM('OC CHILLAR 2'!B24:I24)</f>
        <v>12</v>
      </c>
      <c r="K22" s="1">
        <v>1390</v>
      </c>
      <c r="L22" s="1">
        <f t="shared" si="1"/>
        <v>16680</v>
      </c>
      <c r="R22" s="3"/>
      <c r="S22" s="3"/>
      <c r="T22" s="3"/>
      <c r="U22" s="3"/>
      <c r="V22" s="3"/>
      <c r="W22" s="3"/>
      <c r="X22" s="3"/>
    </row>
    <row r="23" spans="1:24" ht="15.75" customHeight="1">
      <c r="A23" s="61" t="s">
        <v>29</v>
      </c>
      <c r="B23" s="124">
        <f>PRODUCT(SEMANAL!D15,$B$12)/1000+PRODUCT(SEMANAL!B15,$B$13)/1000</f>
        <v>0</v>
      </c>
      <c r="C23" s="124">
        <f>PRODUCT(SEMANAL!D15,$C$12)/1000+PRODUCT(SEMANAL!B15,$C$13)/1000</f>
        <v>1.925</v>
      </c>
      <c r="D23" s="124">
        <f>PRODUCT(SEMANAL!D15,$D$12)/1000+PRODUCT(SEMANAL!B15,$D$13)/1000</f>
        <v>0</v>
      </c>
      <c r="E23" s="124">
        <f>PRODUCT(SEMANAL!D15,$E$12)/1000+PRODUCT(SEMANAL!B15,$E$13)/1000</f>
        <v>0</v>
      </c>
      <c r="F23" s="124">
        <f>PRODUCT(SEMANAL!D15,$F$12)/1000+PRODUCT(SEMANAL!B15,$F$13)/1000</f>
        <v>4.6900000000000004</v>
      </c>
      <c r="G23" s="124">
        <f>PRODUCT(SEMANAL!D15,$G$12)/1000+PRODUCT(SEMANAL!B15,$G$13)/1000</f>
        <v>0.73499999999999999</v>
      </c>
      <c r="H23" s="124">
        <f>PRODUCT(SEMANAL!D15,$H$12)/1000+PRODUCT(SEMANAL!B15,$H$13)/1000</f>
        <v>0</v>
      </c>
      <c r="I23" s="124">
        <f>PRODUCT(SEMANAL!D15,$I$12)/1000+PRODUCT(SEMANAL!B15,$I$13)/1000</f>
        <v>0</v>
      </c>
      <c r="J23" s="119">
        <f>SUM('OC CHILLAR 2'!B25:I25)</f>
        <v>8</v>
      </c>
      <c r="K23" s="1">
        <v>1850</v>
      </c>
      <c r="L23" s="1">
        <f t="shared" si="1"/>
        <v>14800</v>
      </c>
      <c r="R23" s="3"/>
      <c r="S23" s="3"/>
      <c r="T23" s="3"/>
      <c r="U23" s="3"/>
      <c r="V23" s="3"/>
      <c r="W23" s="3"/>
      <c r="X23" s="3"/>
    </row>
    <row r="24" spans="1:24" ht="15.75" customHeight="1">
      <c r="A24" s="61" t="s">
        <v>30</v>
      </c>
      <c r="B24" s="124">
        <f>PRODUCT(SEMANAL!D16,$B$12)/1000+PRODUCT(SEMANAL!B16,$B$13)/1000</f>
        <v>0</v>
      </c>
      <c r="C24" s="124">
        <f>PRODUCT(SEMANAL!D16,$C$12)/1000+PRODUCT(SEMANAL!B16,$C$13)/1000</f>
        <v>1.0999999999999999E-2</v>
      </c>
      <c r="D24" s="124">
        <f>PRODUCT(SEMANAL!D16,$D$12)/1000+PRODUCT(SEMANAL!B16,$D$13)/1000</f>
        <v>0</v>
      </c>
      <c r="E24" s="124">
        <f>PRODUCT(SEMANAL!D16,$E$12)/1000+PRODUCT(SEMANAL!B16,$E$13)/1000</f>
        <v>0</v>
      </c>
      <c r="F24" s="124">
        <f>PRODUCT(SEMANAL!D16,$F$12)/1000+PRODUCT(SEMANAL!B16,$F$13)/1000</f>
        <v>2.6800000000000001E-2</v>
      </c>
      <c r="G24" s="124">
        <f>PRODUCT(SEMANAL!D16,$G$12)/1000+PRODUCT(SEMANAL!B16,$G$13)/1000</f>
        <v>4.2000000000000006E-3</v>
      </c>
      <c r="H24" s="124">
        <f>PRODUCT(SEMANAL!D16,$H$12)/1000+PRODUCT(SEMANAL!B16,$H$13)/1000</f>
        <v>0</v>
      </c>
      <c r="I24" s="124">
        <f>PRODUCT(SEMANAL!D16,$I$12)/1000+PRODUCT(SEMANAL!B16,$I$13)/1000</f>
        <v>0</v>
      </c>
      <c r="J24" s="119">
        <f>SUM('OC CHILLAR 2'!B26:I26)</f>
        <v>3</v>
      </c>
      <c r="K24" s="1">
        <v>690</v>
      </c>
      <c r="L24" s="1">
        <f t="shared" si="1"/>
        <v>2070</v>
      </c>
      <c r="R24" s="3"/>
      <c r="S24" s="3"/>
      <c r="T24" s="3"/>
      <c r="U24" s="3"/>
      <c r="V24" s="3"/>
      <c r="W24" s="3"/>
      <c r="X24" s="3"/>
    </row>
    <row r="25" spans="1:24" ht="15.75" customHeight="1">
      <c r="A25" s="61" t="s">
        <v>31</v>
      </c>
      <c r="B25" s="124">
        <f>PRODUCT(SEMANAL!D17,$B$12)/1000+PRODUCT(SEMANAL!B17,$B$13)/1000</f>
        <v>0</v>
      </c>
      <c r="C25" s="124">
        <f>PRODUCT(SEMANAL!D17,$C$12)/1000+PRODUCT(SEMANAL!B17,$C$13)/1000</f>
        <v>1.0999999999999999E-2</v>
      </c>
      <c r="D25" s="124">
        <f>PRODUCT(SEMANAL!D17,$D$12)/1000+PRODUCT(SEMANAL!B17,$D$13)/1000</f>
        <v>0</v>
      </c>
      <c r="E25" s="124">
        <f>PRODUCT(SEMANAL!D17,$E$12)/1000+PRODUCT(SEMANAL!B17,$E$13)/1000</f>
        <v>0</v>
      </c>
      <c r="F25" s="124">
        <f>PRODUCT(SEMANAL!D17,$F$12)/1000+PRODUCT(SEMANAL!B17,$F$13)/1000</f>
        <v>2.6800000000000001E-2</v>
      </c>
      <c r="G25" s="124">
        <f>PRODUCT(SEMANAL!D17,$G$12)/1000+PRODUCT(SEMANAL!B17,$G$13)/1000</f>
        <v>4.2000000000000006E-3</v>
      </c>
      <c r="H25" s="124">
        <f>PRODUCT(SEMANAL!D17,$H$12)/1000+PRODUCT(SEMANAL!B17,$H$13)/1000</f>
        <v>0</v>
      </c>
      <c r="I25" s="124">
        <f>PRODUCT(SEMANAL!D17,$I$12)/1000+PRODUCT(SEMANAL!B17,$I$13)/1000</f>
        <v>0</v>
      </c>
      <c r="J25" s="119">
        <f>SUM('OC CHILLAR 2'!B27:I27)</f>
        <v>2</v>
      </c>
      <c r="K25" s="1">
        <v>1600</v>
      </c>
      <c r="L25" s="1">
        <f t="shared" si="1"/>
        <v>3200</v>
      </c>
      <c r="R25" s="3"/>
      <c r="S25" s="3"/>
      <c r="T25" s="3"/>
      <c r="U25" s="3"/>
      <c r="V25" s="3"/>
      <c r="W25" s="3"/>
      <c r="X25" s="3"/>
    </row>
    <row r="26" spans="1:24" ht="15.75" customHeight="1">
      <c r="A26" s="61" t="s">
        <v>32</v>
      </c>
      <c r="B26" s="124">
        <f>PRODUCT(SEMANAL!D18,$B$12)/12+PRODUCT(SEMANAL!B18,$B$13)/12</f>
        <v>0</v>
      </c>
      <c r="C26" s="124">
        <f>PRODUCT(SEMANAL!D18,$C$12)/12+PRODUCT(SEMANAL!B18,$C$13)/12</f>
        <v>6.875</v>
      </c>
      <c r="D26" s="124">
        <f>PRODUCT(SEMANAL!D18,$D$12)/12+PRODUCT(SEMANAL!B18,$D$13)/12</f>
        <v>0</v>
      </c>
      <c r="E26" s="124">
        <f>PRODUCT(SEMANAL!D18,$E$12)/12+PRODUCT(SEMANAL!B18,$E$13)/12</f>
        <v>0</v>
      </c>
      <c r="F26" s="124">
        <f>PRODUCT(SEMANAL!D18,$F$12)/12+PRODUCT(SEMANAL!B18,$F$13)/12</f>
        <v>16.75</v>
      </c>
      <c r="G26" s="124">
        <f>PRODUCT(SEMANAL!D18,$G$12)/12+PRODUCT(SEMANAL!B18,$G$13)/12</f>
        <v>2.625</v>
      </c>
      <c r="H26" s="124">
        <f>PRODUCT(SEMANAL!D18,$H$12)/12+PRODUCT(SEMANAL!B18,$H$13)/12</f>
        <v>0</v>
      </c>
      <c r="I26" s="124">
        <f>PRODUCT(SEMANAL!D18,$I$12)/12+PRODUCT(SEMANAL!B18,$I$13)/12</f>
        <v>0</v>
      </c>
      <c r="J26" s="119">
        <f>SUM('OC CHILLAR 2'!B28:I28)</f>
        <v>27</v>
      </c>
      <c r="K26" s="3">
        <v>1890</v>
      </c>
      <c r="L26" s="1">
        <f t="shared" si="1"/>
        <v>51030</v>
      </c>
      <c r="R26" s="3"/>
      <c r="S26" s="3"/>
      <c r="T26" s="3"/>
      <c r="U26" s="3"/>
      <c r="V26" s="3"/>
      <c r="W26" s="3"/>
      <c r="X26" s="3"/>
    </row>
    <row r="27" spans="1:24" ht="15.75" customHeight="1">
      <c r="A27" s="3"/>
      <c r="B27" s="3"/>
      <c r="C27" s="3"/>
      <c r="D27" s="3"/>
      <c r="E27" s="3"/>
      <c r="F27" s="3"/>
      <c r="G27" s="3"/>
      <c r="H27" s="3"/>
      <c r="I27" s="3"/>
      <c r="J27" s="1"/>
      <c r="K27" s="3" t="s">
        <v>280</v>
      </c>
      <c r="L27" s="3">
        <f>SUM(L14:L26)</f>
        <v>791250</v>
      </c>
      <c r="M27" s="3"/>
      <c r="N27" s="3"/>
      <c r="O27" s="3"/>
      <c r="P27" s="3"/>
      <c r="R27" s="1"/>
      <c r="S27" s="1"/>
      <c r="T27" s="1"/>
      <c r="U27" s="1"/>
      <c r="V27" s="1"/>
      <c r="W27" s="1"/>
      <c r="X27" s="1"/>
    </row>
    <row r="28" spans="1:24" ht="15.75" customHeight="1">
      <c r="A28" s="3"/>
      <c r="B28" s="3"/>
      <c r="C28" s="3"/>
      <c r="D28" s="3"/>
      <c r="E28" s="3"/>
      <c r="F28" s="3"/>
      <c r="G28" s="3"/>
      <c r="H28" s="3"/>
      <c r="I28" s="3"/>
      <c r="J28" s="1"/>
      <c r="K28" s="3"/>
      <c r="L28" s="3"/>
      <c r="M28" s="3"/>
      <c r="N28" s="3"/>
      <c r="O28" s="3"/>
      <c r="P28" s="3"/>
      <c r="R28" s="1"/>
      <c r="S28" s="1"/>
      <c r="T28" s="1"/>
      <c r="U28" s="1"/>
      <c r="V28" s="1"/>
      <c r="W28" s="1"/>
      <c r="X28" s="1"/>
    </row>
    <row r="29" spans="1:24" ht="15.75" customHeight="1">
      <c r="A29" s="2" t="s">
        <v>90</v>
      </c>
      <c r="B29" s="4"/>
      <c r="C29" s="3"/>
      <c r="D29" s="3"/>
      <c r="E29" s="3"/>
      <c r="F29" s="3"/>
      <c r="G29" s="3"/>
      <c r="H29" s="3"/>
      <c r="I29" s="3"/>
      <c r="J29" s="1"/>
      <c r="K29" s="3"/>
      <c r="L29" s="3"/>
      <c r="M29" s="3"/>
      <c r="N29" s="3"/>
      <c r="O29" s="3"/>
      <c r="P29" s="3"/>
    </row>
    <row r="30" spans="1:24" ht="15.75" customHeight="1">
      <c r="A30" s="134" t="s">
        <v>316</v>
      </c>
      <c r="B30" s="3"/>
      <c r="C30" s="3"/>
      <c r="D30" s="3"/>
      <c r="E30" s="3"/>
      <c r="F30" s="3"/>
      <c r="G30" s="3"/>
      <c r="H30" s="3"/>
      <c r="I30" s="3"/>
      <c r="J30" s="139"/>
      <c r="K30" s="3"/>
      <c r="L30" s="3"/>
      <c r="M30" s="3"/>
      <c r="N30" s="3"/>
      <c r="O30" s="3"/>
      <c r="P30" s="3"/>
      <c r="R30" s="1"/>
      <c r="S30" s="1"/>
      <c r="T30" s="1"/>
      <c r="U30" s="1"/>
      <c r="V30" s="1"/>
      <c r="W30" s="1"/>
      <c r="X30" s="1"/>
    </row>
    <row r="31" spans="1:24" ht="15.75" customHeight="1">
      <c r="A31" s="111"/>
      <c r="B31" s="138" t="s">
        <v>308</v>
      </c>
      <c r="C31" s="138" t="s">
        <v>309</v>
      </c>
      <c r="D31" s="138" t="s">
        <v>310</v>
      </c>
      <c r="E31" s="138" t="s">
        <v>311</v>
      </c>
      <c r="F31" s="138" t="s">
        <v>312</v>
      </c>
      <c r="G31" s="138" t="s">
        <v>313</v>
      </c>
      <c r="H31" s="138" t="s">
        <v>314</v>
      </c>
      <c r="I31" s="140" t="s">
        <v>315</v>
      </c>
      <c r="J31" s="141" t="s">
        <v>280</v>
      </c>
      <c r="K31" s="3"/>
      <c r="L31" s="3"/>
      <c r="R31" s="3"/>
      <c r="S31" s="3"/>
      <c r="T31" s="3"/>
      <c r="U31" s="3"/>
      <c r="V31" s="3"/>
      <c r="W31" s="3"/>
      <c r="X31" s="3"/>
    </row>
    <row r="32" spans="1:24" ht="15.75" customHeight="1">
      <c r="A32" s="122" t="s">
        <v>277</v>
      </c>
      <c r="B32" s="123">
        <v>138</v>
      </c>
      <c r="C32" s="123">
        <v>147</v>
      </c>
      <c r="D32" s="123">
        <v>8</v>
      </c>
      <c r="E32" s="123">
        <v>5</v>
      </c>
      <c r="F32" s="123">
        <v>134</v>
      </c>
      <c r="G32" s="123">
        <v>60</v>
      </c>
      <c r="H32" s="123">
        <v>250</v>
      </c>
      <c r="I32" s="123">
        <v>3</v>
      </c>
      <c r="J32" s="79">
        <f t="shared" ref="J32:J33" si="2">SUM(B32:I32)</f>
        <v>745</v>
      </c>
      <c r="K32" s="1"/>
      <c r="L32" s="1"/>
      <c r="R32" s="3"/>
      <c r="S32" s="3"/>
      <c r="T32" s="3"/>
      <c r="U32" s="3"/>
      <c r="V32" s="3"/>
      <c r="W32" s="3"/>
      <c r="X32" s="3"/>
    </row>
    <row r="33" spans="1:24" ht="15.75" customHeight="1">
      <c r="A33" s="122" t="s">
        <v>278</v>
      </c>
      <c r="B33" s="123">
        <v>0</v>
      </c>
      <c r="C33" s="123">
        <v>55</v>
      </c>
      <c r="D33" s="123">
        <v>0</v>
      </c>
      <c r="E33" s="123">
        <v>0</v>
      </c>
      <c r="F33" s="123">
        <v>134</v>
      </c>
      <c r="G33" s="123">
        <v>21</v>
      </c>
      <c r="H33" s="123">
        <v>0</v>
      </c>
      <c r="I33" s="123">
        <v>0</v>
      </c>
      <c r="J33" s="79">
        <f t="shared" si="2"/>
        <v>210</v>
      </c>
      <c r="K33" s="1" t="s">
        <v>18</v>
      </c>
      <c r="L33" s="1" t="s">
        <v>279</v>
      </c>
      <c r="R33" s="3"/>
      <c r="S33" s="3"/>
      <c r="T33" s="3"/>
      <c r="U33" s="3"/>
      <c r="V33" s="3"/>
      <c r="W33" s="3"/>
      <c r="X33" s="3"/>
    </row>
    <row r="34" spans="1:24" ht="15.75" customHeight="1">
      <c r="A34" s="61" t="s">
        <v>284</v>
      </c>
      <c r="B34" s="128">
        <f>PRODUCT(SEMANAL!D24,$B$32)/1000+PRODUCT(SEMANAL!B24,$B$33)/1000</f>
        <v>82.8</v>
      </c>
      <c r="C34" s="128">
        <f>PRODUCT(SEMANAL!$D$24,C32)/1000+PRODUCT(SEMANAL!$B$24,C33)/1000</f>
        <v>95.075000000000003</v>
      </c>
      <c r="D34" s="128">
        <f>PRODUCT(SEMANAL!$D$24,D32)/1000+PRODUCT(SEMANAL!$B$24,D33)/1000</f>
        <v>4.8</v>
      </c>
      <c r="E34" s="128">
        <f>PRODUCT(SEMANAL!$D$24,E32)/1000+PRODUCT(SEMANAL!$B$24,E33)/1000</f>
        <v>3</v>
      </c>
      <c r="F34" s="128">
        <f>PRODUCT(SEMANAL!$D$24,F32)/1000+PRODUCT(SEMANAL!$B$24,F33)/1000</f>
        <v>97.15</v>
      </c>
      <c r="G34" s="128">
        <f>PRODUCT(SEMANAL!$D$24,G32)/1000+PRODUCT(SEMANAL!$B$24,G33)/1000</f>
        <v>38.625</v>
      </c>
      <c r="H34" s="128">
        <f>PRODUCT(SEMANAL!$D$24,H32)/1000+PRODUCT(SEMANAL!$B$24,H33)/1000</f>
        <v>150</v>
      </c>
      <c r="I34" s="128">
        <f>PRODUCT(SEMANAL!$D$24,I32)/1000+PRODUCT(SEMANAL!$B$24,I33)/1000</f>
        <v>1.8</v>
      </c>
      <c r="J34" s="119">
        <f>SUM('OC CHILLAR 2'!B39:I39)</f>
        <v>192</v>
      </c>
      <c r="K34" s="3">
        <v>2000</v>
      </c>
      <c r="L34" s="3">
        <f t="shared" ref="L34:L56" si="3">PRODUCT(J34:K34)</f>
        <v>384000</v>
      </c>
      <c r="R34" s="3"/>
      <c r="S34" s="3"/>
      <c r="T34" s="3"/>
      <c r="U34" s="3"/>
      <c r="V34" s="3"/>
      <c r="W34" s="3"/>
      <c r="X34" s="3"/>
    </row>
    <row r="35" spans="1:24" ht="15.75" customHeight="1">
      <c r="A35" s="61" t="s">
        <v>285</v>
      </c>
      <c r="B35" s="128">
        <f>PRODUCT(SEMANAL!$D$25,B$32)/1000+PRODUCT(SEMANAL!$B$25,B$33)/1000</f>
        <v>2.0699999999999998</v>
      </c>
      <c r="C35" s="128">
        <f>PRODUCT(SEMANAL!$D$25,C$32)/1000+PRODUCT(SEMANAL!$B$25,C$33)/1000</f>
        <v>2.59</v>
      </c>
      <c r="D35" s="128">
        <f>PRODUCT(SEMANAL!$D$25,D$32)/1000+PRODUCT(SEMANAL!$B$25,D$33)/1000</f>
        <v>0.12</v>
      </c>
      <c r="E35" s="128">
        <f>PRODUCT(SEMANAL!$D$25,E$32)/1000+PRODUCT(SEMANAL!$B$25,E$33)/1000</f>
        <v>7.4999999999999997E-2</v>
      </c>
      <c r="F35" s="128">
        <f>PRODUCT(SEMANAL!$D$25,F$32)/1000+PRODUCT(SEMANAL!$B$25,F$33)/1000</f>
        <v>2.9479999999999995</v>
      </c>
      <c r="G35" s="128">
        <f>PRODUCT(SEMANAL!$D$25,G$32)/1000+PRODUCT(SEMANAL!$B$25,G$33)/1000</f>
        <v>1.0469999999999999</v>
      </c>
      <c r="H35" s="128">
        <f>PRODUCT(SEMANAL!$D$25,H$32)/1000+PRODUCT(SEMANAL!$B$25,H$33)/1000</f>
        <v>3.75</v>
      </c>
      <c r="I35" s="128">
        <f>PRODUCT(SEMANAL!$D$25,I$32)/1000+PRODUCT(SEMANAL!$B$25,I$33)/1000</f>
        <v>4.4999999999999998E-2</v>
      </c>
      <c r="J35" s="119">
        <f>SUM('OC CHILLAR 2'!B40:I40)</f>
        <v>13</v>
      </c>
      <c r="K35" s="3">
        <v>1150</v>
      </c>
      <c r="L35" s="3">
        <f t="shared" si="3"/>
        <v>14950</v>
      </c>
      <c r="R35" s="3"/>
      <c r="S35" s="3"/>
      <c r="T35" s="3"/>
      <c r="U35" s="3"/>
      <c r="V35" s="3"/>
      <c r="W35" s="3"/>
      <c r="X35" s="3"/>
    </row>
    <row r="36" spans="1:24" ht="15.75" customHeight="1">
      <c r="A36" s="61" t="s">
        <v>286</v>
      </c>
      <c r="B36" s="128">
        <f>PRODUCT(SEMANAL!$D$26,B$32)/25+PRODUCT(SEMANAL!$B$26,B$33)/25</f>
        <v>8.2799999999999994</v>
      </c>
      <c r="C36" s="128">
        <f>PRODUCT(SEMANAL!$D$26,C$32)/25+PRODUCT(SEMANAL!$B$26,C$33)/25</f>
        <v>8.82</v>
      </c>
      <c r="D36" s="128">
        <f>PRODUCT(SEMANAL!$D$26,D$32)/25+PRODUCT(SEMANAL!$B$26,D$33)/25</f>
        <v>0.48</v>
      </c>
      <c r="E36" s="128">
        <f>PRODUCT(SEMANAL!$D$26,E$32)/25+PRODUCT(SEMANAL!$B$26,E$33)/25</f>
        <v>0.3</v>
      </c>
      <c r="F36" s="128">
        <f>PRODUCT(SEMANAL!$D$26,F$32)/25+PRODUCT(SEMANAL!$B$26,F$33)/25</f>
        <v>8.0399999999999991</v>
      </c>
      <c r="G36" s="128">
        <f>PRODUCT(SEMANAL!$D$26,G$32)/25+PRODUCT(SEMANAL!$B$26,G$33)/25</f>
        <v>3.6</v>
      </c>
      <c r="H36" s="128">
        <f>PRODUCT(SEMANAL!$D$26,H$32)/25+PRODUCT(SEMANAL!$B$26,H$33)/25</f>
        <v>15</v>
      </c>
      <c r="I36" s="128">
        <f>PRODUCT(SEMANAL!$D$26,I$32)/25+PRODUCT(SEMANAL!$B$26,I$33)/25</f>
        <v>0.18</v>
      </c>
      <c r="J36" s="119">
        <f>SUM('OC CHILLAR 2'!B41:I41)</f>
        <v>19</v>
      </c>
      <c r="K36" s="3">
        <v>1000</v>
      </c>
      <c r="L36" s="3">
        <f t="shared" si="3"/>
        <v>19000</v>
      </c>
      <c r="R36" s="3"/>
      <c r="S36" s="3"/>
      <c r="T36" s="3"/>
      <c r="U36" s="3"/>
      <c r="V36" s="3"/>
      <c r="W36" s="3"/>
      <c r="X36" s="3"/>
    </row>
    <row r="37" spans="1:24" ht="15.75" customHeight="1">
      <c r="A37" s="61" t="s">
        <v>95</v>
      </c>
      <c r="B37" s="128">
        <f>PRODUCT(SEMANAL!$D$27,B$32)/360+PRODUCT(SEMANAL!$B$27,B$33)/360</f>
        <v>7.666666666666667</v>
      </c>
      <c r="C37" s="128">
        <f>PRODUCT(SEMANAL!$D$27,C$32)/360+PRODUCT(SEMANAL!$B$27,C$33)/360</f>
        <v>8.1666666666666661</v>
      </c>
      <c r="D37" s="128">
        <f>PRODUCT(SEMANAL!$D$27,D$32)/360+PRODUCT(SEMANAL!$B$27,D$33)/360</f>
        <v>0.44444444444444442</v>
      </c>
      <c r="E37" s="128">
        <f>PRODUCT(SEMANAL!$D$27,E$32)/360+PRODUCT(SEMANAL!$B$27,E$33)/360</f>
        <v>0.27777777777777779</v>
      </c>
      <c r="F37" s="128">
        <f>PRODUCT(SEMANAL!$D$27,F$32)/360+PRODUCT(SEMANAL!$B$27,F$33)/360</f>
        <v>7.4444444444444446</v>
      </c>
      <c r="G37" s="128">
        <f>PRODUCT(SEMANAL!$D$27,G$32)/360+PRODUCT(SEMANAL!$B$27,G$33)/360</f>
        <v>3.3333333333333335</v>
      </c>
      <c r="H37" s="128">
        <f>PRODUCT(SEMANAL!$D$27,H$32)/360+PRODUCT(SEMANAL!$B$27,H$33)/360</f>
        <v>13.888888888888889</v>
      </c>
      <c r="I37" s="128">
        <f>PRODUCT(SEMANAL!$D$27,I$32)/360+PRODUCT(SEMANAL!$B$27,I$33)/360</f>
        <v>0.16666666666666666</v>
      </c>
      <c r="J37" s="119">
        <f>SUM('OC CHILLAR 2'!B42:I42)</f>
        <v>23</v>
      </c>
      <c r="K37" s="3">
        <v>3400</v>
      </c>
      <c r="L37" s="3">
        <f t="shared" si="3"/>
        <v>78200</v>
      </c>
      <c r="R37" s="3"/>
      <c r="S37" s="3"/>
      <c r="T37" s="3"/>
      <c r="U37" s="3"/>
      <c r="V37" s="3"/>
      <c r="W37" s="3"/>
      <c r="X37" s="3"/>
    </row>
    <row r="38" spans="1:24" ht="15.75" customHeight="1">
      <c r="A38" s="61" t="s">
        <v>287</v>
      </c>
      <c r="B38" s="128">
        <f>PRODUCT(SEMANAL!$D$28,B$32)/400+PRODUCT(SEMANAL!$B$28,B$33)/400</f>
        <v>10.35</v>
      </c>
      <c r="C38" s="128">
        <f>PRODUCT(SEMANAL!$D$28,C$32)/400+PRODUCT(SEMANAL!$B$28,C$33)/400</f>
        <v>11.025</v>
      </c>
      <c r="D38" s="128">
        <f>PRODUCT(SEMANAL!$D$28,D$32)/400+PRODUCT(SEMANAL!$B$28,D$33)/400</f>
        <v>0.6</v>
      </c>
      <c r="E38" s="128">
        <f>PRODUCT(SEMANAL!$D$28,E$32)/400+PRODUCT(SEMANAL!$B$28,E$33)/400</f>
        <v>0.375</v>
      </c>
      <c r="F38" s="128">
        <f>PRODUCT(SEMANAL!$D$28,F$32)/400+PRODUCT(SEMANAL!$B$28,F$33)/400</f>
        <v>10.050000000000001</v>
      </c>
      <c r="G38" s="128">
        <f>PRODUCT(SEMANAL!$D$28,G$32)/400+PRODUCT(SEMANAL!$B$28,G$33)/400</f>
        <v>4.5</v>
      </c>
      <c r="H38" s="128">
        <f>PRODUCT(SEMANAL!$D$28,H$32)/400+PRODUCT(SEMANAL!$B$28,H$33)/400</f>
        <v>18.75</v>
      </c>
      <c r="I38" s="128">
        <f>PRODUCT(SEMANAL!$D$28,I$32)/400+PRODUCT(SEMANAL!$B$28,I$33)/400</f>
        <v>0.22500000000000001</v>
      </c>
      <c r="J38" s="119">
        <f>SUM('OC CHILLAR 2'!B43:I43)</f>
        <v>30</v>
      </c>
      <c r="K38" s="3">
        <v>2900</v>
      </c>
      <c r="L38" s="3">
        <f t="shared" si="3"/>
        <v>87000</v>
      </c>
      <c r="R38" s="3"/>
      <c r="S38" s="3"/>
      <c r="T38" s="3"/>
      <c r="U38" s="3"/>
      <c r="V38" s="3"/>
      <c r="W38" s="3"/>
      <c r="X38" s="3"/>
    </row>
    <row r="39" spans="1:24" ht="15.75" customHeight="1">
      <c r="A39" s="61" t="s">
        <v>288</v>
      </c>
      <c r="B39" s="128">
        <f>PRODUCT(SEMANAL!$D$29,B$32)/1000+PRODUCT(SEMANAL!$B$29,B$33)/1000</f>
        <v>2.76</v>
      </c>
      <c r="C39" s="128">
        <f>PRODUCT(SEMANAL!$D$29,C$32)/1000+PRODUCT(SEMANAL!$B$29,C$33)/1000</f>
        <v>2.94</v>
      </c>
      <c r="D39" s="128">
        <f>PRODUCT(SEMANAL!$D$29,D$32)/1000+PRODUCT(SEMANAL!$B$29,D$33)/1000</f>
        <v>0.16</v>
      </c>
      <c r="E39" s="128">
        <f>PRODUCT(SEMANAL!$D$29,E$32)/1000+PRODUCT(SEMANAL!$B$29,E$33)/1000</f>
        <v>0.1</v>
      </c>
      <c r="F39" s="128">
        <f>PRODUCT(SEMANAL!$D$29,F$32)/1000+PRODUCT(SEMANAL!$B$29,F$33)/1000</f>
        <v>2.68</v>
      </c>
      <c r="G39" s="128">
        <f>PRODUCT(SEMANAL!$D$29,G$32)/1000+PRODUCT(SEMANAL!$B$29,G$33)/1000</f>
        <v>1.2</v>
      </c>
      <c r="H39" s="128">
        <f>PRODUCT(SEMANAL!$D$29,H$32)/1000+PRODUCT(SEMANAL!$B$29,H$33)/1000</f>
        <v>5</v>
      </c>
      <c r="I39" s="128">
        <f>PRODUCT(SEMANAL!$D$29,I$32)/1000+PRODUCT(SEMANAL!$B$29,I$33)/1000</f>
        <v>0.06</v>
      </c>
      <c r="J39" s="119">
        <f>SUM('OC CHILLAR 2'!B44:I44)</f>
        <v>6</v>
      </c>
      <c r="K39" s="3">
        <v>2550</v>
      </c>
      <c r="L39" s="3">
        <f t="shared" si="3"/>
        <v>15300</v>
      </c>
      <c r="R39" s="3"/>
      <c r="S39" s="3"/>
      <c r="T39" s="3"/>
      <c r="U39" s="3"/>
      <c r="V39" s="3"/>
      <c r="W39" s="3"/>
      <c r="X39" s="3"/>
    </row>
    <row r="40" spans="1:24" ht="15.75" customHeight="1">
      <c r="A40" s="61" t="s">
        <v>289</v>
      </c>
      <c r="B40" s="128">
        <f>PRODUCT(SEMANAL!$D$30,B$32)/1000+PRODUCT(SEMANAL!$B$30,B$33)/1000</f>
        <v>0</v>
      </c>
      <c r="C40" s="128">
        <f>PRODUCT(SEMANAL!$D$30,C$32)/1000+PRODUCT(SEMANAL!$B$30,C$33)/1000</f>
        <v>2.75</v>
      </c>
      <c r="D40" s="128">
        <f>PRODUCT(SEMANAL!$D$30,D$32)/1000+PRODUCT(SEMANAL!$B$30,D$33)/1000</f>
        <v>0</v>
      </c>
      <c r="E40" s="128">
        <f>PRODUCT(SEMANAL!$D$30,E$32)/1000+PRODUCT(SEMANAL!$B$30,E$33)/1000</f>
        <v>0</v>
      </c>
      <c r="F40" s="128">
        <f>PRODUCT(SEMANAL!$D$30,F$32)/1000+PRODUCT(SEMANAL!$B$30,F$33)/1000</f>
        <v>6.7</v>
      </c>
      <c r="G40" s="128">
        <f>PRODUCT(SEMANAL!$D$30,G$32)/1000+PRODUCT(SEMANAL!$B$30,G$33)/1000</f>
        <v>1.05</v>
      </c>
      <c r="H40" s="128">
        <f>PRODUCT(SEMANAL!$D$30,H$32)/1000+PRODUCT(SEMANAL!$B$30,H$33)/1000</f>
        <v>0</v>
      </c>
      <c r="I40" s="128">
        <f>PRODUCT(SEMANAL!$D$30,I$32)/1000+PRODUCT(SEMANAL!$B$30,I$33)/1000</f>
        <v>0</v>
      </c>
      <c r="J40" s="119">
        <f>SUM('OC CHILLAR 2'!B45:I45)</f>
        <v>12</v>
      </c>
      <c r="K40" s="3">
        <v>9500</v>
      </c>
      <c r="L40" s="3">
        <f t="shared" si="3"/>
        <v>114000</v>
      </c>
      <c r="R40" s="3"/>
      <c r="S40" s="3"/>
      <c r="T40" s="3"/>
      <c r="U40" s="3"/>
      <c r="V40" s="3"/>
      <c r="W40" s="3"/>
      <c r="X40" s="3"/>
    </row>
    <row r="41" spans="1:24" ht="15.75" customHeight="1">
      <c r="A41" s="61" t="s">
        <v>290</v>
      </c>
      <c r="B41" s="128">
        <f>PRODUCT(SEMANAL!$D$31,B$32)/900+PRODUCT(SEMANAL!$B$31,B$33)/900</f>
        <v>0</v>
      </c>
      <c r="C41" s="128">
        <f>PRODUCT(SEMANAL!$D$31,C$32)/900+PRODUCT(SEMANAL!$B$31,C$33)/900</f>
        <v>1.8333333333333333</v>
      </c>
      <c r="D41" s="128">
        <f>PRODUCT(SEMANAL!$D$31,D$32)/900+PRODUCT(SEMANAL!$B$31,D$33)/900</f>
        <v>0</v>
      </c>
      <c r="E41" s="128">
        <f>PRODUCT(SEMANAL!$D$31,E$32)/900+PRODUCT(SEMANAL!$B$31,E$33)/900</f>
        <v>0</v>
      </c>
      <c r="F41" s="128">
        <f>PRODUCT(SEMANAL!$D$31,F$32)/900+PRODUCT(SEMANAL!$B$31,F$33)/900</f>
        <v>4.4666666666666668</v>
      </c>
      <c r="G41" s="128">
        <f>PRODUCT(SEMANAL!$D$31,G$32)/900+PRODUCT(SEMANAL!$B$31,G$33)/900</f>
        <v>0.7</v>
      </c>
      <c r="H41" s="128">
        <f>PRODUCT(SEMANAL!$D$31,H$32)/900+PRODUCT(SEMANAL!$B$31,H$33)/900</f>
        <v>0</v>
      </c>
      <c r="I41" s="128">
        <f>PRODUCT(SEMANAL!$D$31,I$32)/900+PRODUCT(SEMANAL!$B$31,I$33)/900</f>
        <v>0</v>
      </c>
      <c r="J41" s="119">
        <f>SUM('OC CHILLAR 2'!B46:I46)</f>
        <v>8</v>
      </c>
      <c r="K41" s="3">
        <v>3300</v>
      </c>
      <c r="L41" s="3">
        <f t="shared" si="3"/>
        <v>26400</v>
      </c>
      <c r="R41" s="3"/>
      <c r="S41" s="3"/>
      <c r="T41" s="3"/>
      <c r="U41" s="3"/>
      <c r="V41" s="3"/>
      <c r="W41" s="3"/>
      <c r="X41" s="3"/>
    </row>
    <row r="42" spans="1:24" ht="15.75" customHeight="1">
      <c r="A42" s="61" t="s">
        <v>291</v>
      </c>
      <c r="B42" s="128">
        <f>PRODUCT(SEMANAL!$D$32,B$32)/1000+PRODUCT(SEMANAL!$B$32,B$33)/1000</f>
        <v>0</v>
      </c>
      <c r="C42" s="128">
        <f>PRODUCT(SEMANAL!$D$32,C$32)/1000+PRODUCT(SEMANAL!$B$32,C$33)/1000</f>
        <v>4.4000000000000004</v>
      </c>
      <c r="D42" s="128">
        <f>PRODUCT(SEMANAL!$D$32,D$32)/1000+PRODUCT(SEMANAL!$B$32,D$33)/1000</f>
        <v>0</v>
      </c>
      <c r="E42" s="128">
        <f>PRODUCT(SEMANAL!$D$32,E$32)/1000+PRODUCT(SEMANAL!$B$32,E$33)/1000</f>
        <v>0</v>
      </c>
      <c r="F42" s="128">
        <f>PRODUCT(SEMANAL!$D$32,F$32)/1000+PRODUCT(SEMANAL!$B$32,F$33)/1000</f>
        <v>10.72</v>
      </c>
      <c r="G42" s="128">
        <f>PRODUCT(SEMANAL!$D$32,G$32)/1000+PRODUCT(SEMANAL!$B$32,G$33)/1000</f>
        <v>1.68</v>
      </c>
      <c r="H42" s="128">
        <f>PRODUCT(SEMANAL!$D$32,H$32)/1000+PRODUCT(SEMANAL!$B$32,H$33)/1000</f>
        <v>0</v>
      </c>
      <c r="I42" s="128">
        <f>PRODUCT(SEMANAL!$D$32,I$32)/1000+PRODUCT(SEMANAL!$B$32,I$33)/1000</f>
        <v>0</v>
      </c>
      <c r="J42" s="119">
        <f>SUM('OC CHILLAR 2'!B47:I47)</f>
        <v>16</v>
      </c>
      <c r="K42" s="3">
        <v>1500</v>
      </c>
      <c r="L42" s="3">
        <f t="shared" si="3"/>
        <v>24000</v>
      </c>
      <c r="R42" s="3"/>
      <c r="S42" s="3"/>
      <c r="T42" s="3"/>
      <c r="U42" s="3"/>
      <c r="V42" s="3"/>
      <c r="W42" s="3"/>
      <c r="X42" s="3"/>
    </row>
    <row r="43" spans="1:24" ht="15.75" customHeight="1">
      <c r="A43" s="61" t="s">
        <v>292</v>
      </c>
      <c r="B43" s="128">
        <f>PRODUCT(SEMANAL!$D$33,B$32)/340+PRODUCT(SEMANAL!$B$33,B$33)/340</f>
        <v>0</v>
      </c>
      <c r="C43" s="128">
        <f>PRODUCT(SEMANAL!$D$33,C$32)/340+PRODUCT(SEMANAL!$B$33,C$33)/340</f>
        <v>0</v>
      </c>
      <c r="D43" s="128">
        <f>PRODUCT(SEMANAL!$D$33,D$32)/340+PRODUCT(SEMANAL!$B$33,D$33)/340</f>
        <v>0</v>
      </c>
      <c r="E43" s="128">
        <f>PRODUCT(SEMANAL!$D$33,E$32)/340+PRODUCT(SEMANAL!$B$33,E$33)/340</f>
        <v>0</v>
      </c>
      <c r="F43" s="128">
        <f>PRODUCT(SEMANAL!$D$33,F$32)/340+PRODUCT(SEMANAL!$B$33,F$33)/340</f>
        <v>0</v>
      </c>
      <c r="G43" s="128">
        <f>PRODUCT(SEMANAL!$D$33,G$32)/340+PRODUCT(SEMANAL!$B$33,G$33)/340</f>
        <v>0</v>
      </c>
      <c r="H43" s="128">
        <f>PRODUCT(SEMANAL!$D$33,H$32)/340+PRODUCT(SEMANAL!$B$33,H$33)/340</f>
        <v>0</v>
      </c>
      <c r="I43" s="128">
        <f>PRODUCT(SEMANAL!$D$33,I$32)/340+PRODUCT(SEMANAL!$B$33,I$33)/340</f>
        <v>0</v>
      </c>
      <c r="J43" s="119">
        <f>SUM('OC CHILLAR 2'!B48:I48)</f>
        <v>0</v>
      </c>
      <c r="K43" s="3">
        <v>690</v>
      </c>
      <c r="L43" s="3">
        <f t="shared" si="3"/>
        <v>0</v>
      </c>
      <c r="R43" s="3"/>
      <c r="S43" s="3"/>
      <c r="T43" s="3"/>
      <c r="U43" s="3"/>
      <c r="V43" s="3"/>
      <c r="W43" s="3"/>
      <c r="X43" s="3"/>
    </row>
    <row r="44" spans="1:24" ht="15.75" customHeight="1">
      <c r="A44" s="61" t="s">
        <v>293</v>
      </c>
      <c r="B44" s="128">
        <f>PRODUCT(SEMANAL!$D$34,B$32)/350+PRODUCT(SEMANAL!$B$34,B$33)/350</f>
        <v>0</v>
      </c>
      <c r="C44" s="128">
        <f>PRODUCT(SEMANAL!$D$34,C$32)/350+PRODUCT(SEMANAL!$B$34,C$33)/350</f>
        <v>6.2857142857142856</v>
      </c>
      <c r="D44" s="128">
        <f>PRODUCT(SEMANAL!$D$34,D$32)/350+PRODUCT(SEMANAL!$B$34,D$33)/350</f>
        <v>0</v>
      </c>
      <c r="E44" s="128">
        <f>PRODUCT(SEMANAL!$D$34,E$32)/350+PRODUCT(SEMANAL!$B$34,E$33)/350</f>
        <v>0</v>
      </c>
      <c r="F44" s="128">
        <f>PRODUCT(SEMANAL!$D$34,F$32)/350+PRODUCT(SEMANAL!$B$34,F$33)/350</f>
        <v>15.314285714285715</v>
      </c>
      <c r="G44" s="128">
        <f>PRODUCT(SEMANAL!$D$34,G$32)/350+PRODUCT(SEMANAL!$B$34,G$33)/350</f>
        <v>2.4</v>
      </c>
      <c r="H44" s="128">
        <f>PRODUCT(SEMANAL!$D$34,H$32)/350+PRODUCT(SEMANAL!$B$34,H$33)/350</f>
        <v>0</v>
      </c>
      <c r="I44" s="128">
        <f>PRODUCT(SEMANAL!$D$34,I$32)/350+PRODUCT(SEMANAL!$B$34,I$33)/350</f>
        <v>0</v>
      </c>
      <c r="J44" s="119">
        <f>SUM('OC CHILLAR 2'!B49:I49)</f>
        <v>26</v>
      </c>
      <c r="K44" s="3">
        <v>900</v>
      </c>
      <c r="L44" s="3">
        <f t="shared" si="3"/>
        <v>23400</v>
      </c>
      <c r="R44" s="3"/>
      <c r="S44" s="3"/>
      <c r="T44" s="3"/>
      <c r="U44" s="3"/>
      <c r="V44" s="3"/>
      <c r="W44" s="3"/>
      <c r="X44" s="3"/>
    </row>
    <row r="45" spans="1:24" ht="15.75" customHeight="1">
      <c r="A45" s="61" t="s">
        <v>294</v>
      </c>
      <c r="B45" s="128">
        <f>PRODUCT(SEMANAL!$D$35,B$32)/25+PRODUCT(SEMANAL!$B$35,B$33)/25</f>
        <v>0</v>
      </c>
      <c r="C45" s="128">
        <f>PRODUCT(SEMANAL!$D$35,C$32)/25+PRODUCT(SEMANAL!$B$35,C$33)/25</f>
        <v>0</v>
      </c>
      <c r="D45" s="128">
        <f>PRODUCT(SEMANAL!$D$35,D$32)/25+PRODUCT(SEMANAL!$B$35,D$33)/25</f>
        <v>0</v>
      </c>
      <c r="E45" s="128">
        <f>PRODUCT(SEMANAL!$D$35,E$32)/25+PRODUCT(SEMANAL!$B$35,E$33)/25</f>
        <v>0</v>
      </c>
      <c r="F45" s="128">
        <f>PRODUCT(SEMANAL!$D$35,F$32)/25+PRODUCT(SEMANAL!$B$35,F$33)/25</f>
        <v>0</v>
      </c>
      <c r="G45" s="128">
        <f>PRODUCT(SEMANAL!$D$35,G$32)/25+PRODUCT(SEMANAL!$B$35,G$33)/25</f>
        <v>0</v>
      </c>
      <c r="H45" s="128">
        <f>PRODUCT(SEMANAL!$D$35,H$32)/25+PRODUCT(SEMANAL!$B$35,H$33)/25</f>
        <v>0</v>
      </c>
      <c r="I45" s="128">
        <f>PRODUCT(SEMANAL!$D$35,I$32)/25+PRODUCT(SEMANAL!$B$35,I$33)/25</f>
        <v>0</v>
      </c>
      <c r="J45" s="119">
        <f>SUM('OC CHILLAR 2'!B50:I50)</f>
        <v>0</v>
      </c>
      <c r="K45" s="3">
        <v>700</v>
      </c>
      <c r="L45" s="3">
        <f t="shared" si="3"/>
        <v>0</v>
      </c>
      <c r="R45" s="3"/>
      <c r="S45" s="3"/>
      <c r="T45" s="3"/>
      <c r="U45" s="3"/>
      <c r="V45" s="3"/>
      <c r="W45" s="3"/>
      <c r="X45" s="3"/>
    </row>
    <row r="46" spans="1:24" ht="15.75" customHeight="1">
      <c r="A46" s="61" t="s">
        <v>295</v>
      </c>
      <c r="B46" s="128">
        <f>PRODUCT(SEMANAL!$D$36,B$32)/25+PRODUCT(SEMANAL!$B$36,B$33)/25</f>
        <v>0</v>
      </c>
      <c r="C46" s="128">
        <f>PRODUCT(SEMANAL!$D$36,C$32)/25+PRODUCT(SEMANAL!$B$36,C$33)/25</f>
        <v>0</v>
      </c>
      <c r="D46" s="128">
        <f>PRODUCT(SEMANAL!$D$36,D$32)/25+PRODUCT(SEMANAL!$B$36,D$33)/25</f>
        <v>0</v>
      </c>
      <c r="E46" s="128">
        <f>PRODUCT(SEMANAL!$D$36,E$32)/25+PRODUCT(SEMANAL!$B$36,E$33)/25</f>
        <v>0</v>
      </c>
      <c r="F46" s="128">
        <f>PRODUCT(SEMANAL!$D$36,F$32)/25+PRODUCT(SEMANAL!$B$36,F$33)/25</f>
        <v>0</v>
      </c>
      <c r="G46" s="128">
        <f>PRODUCT(SEMANAL!$D$36,G$32)/25+PRODUCT(SEMANAL!$B$36,G$33)/25</f>
        <v>0</v>
      </c>
      <c r="H46" s="128">
        <f>PRODUCT(SEMANAL!$D$36,H$32)/25+PRODUCT(SEMANAL!$B$36,H$33)/25</f>
        <v>0</v>
      </c>
      <c r="I46" s="128">
        <f>PRODUCT(SEMANAL!$D$36,I$32)/25+PRODUCT(SEMANAL!$B$36,I$33)/25</f>
        <v>0</v>
      </c>
      <c r="J46" s="119">
        <f>SUM('OC CHILLAR 2'!B51:I51)</f>
        <v>0</v>
      </c>
      <c r="K46" s="3">
        <v>700</v>
      </c>
      <c r="L46" s="3">
        <f t="shared" si="3"/>
        <v>0</v>
      </c>
      <c r="R46" s="3"/>
      <c r="S46" s="3"/>
      <c r="T46" s="3"/>
      <c r="U46" s="3"/>
      <c r="V46" s="3"/>
      <c r="W46" s="3"/>
      <c r="X46" s="3"/>
    </row>
    <row r="47" spans="1:24" ht="15.75" customHeight="1">
      <c r="A47" s="61" t="s">
        <v>105</v>
      </c>
      <c r="B47" s="128">
        <f>PRODUCT(SEMANAL!$D$37,B$32)/25+PRODUCT(SEMANAL!$B$37,B$33)/25</f>
        <v>0</v>
      </c>
      <c r="C47" s="128">
        <f>PRODUCT(SEMANAL!$D$37,C$32)/25+PRODUCT(SEMANAL!$B$37,C$33)/25</f>
        <v>3.3</v>
      </c>
      <c r="D47" s="128">
        <f>PRODUCT(SEMANAL!$D$37,D$32)/25+PRODUCT(SEMANAL!$B$37,D$33)/25</f>
        <v>0</v>
      </c>
      <c r="E47" s="128">
        <f>PRODUCT(SEMANAL!$D$37,E$32)/25+PRODUCT(SEMANAL!$B$37,E$33)/25</f>
        <v>0</v>
      </c>
      <c r="F47" s="128">
        <f>PRODUCT(SEMANAL!$D$37,F$32)/25+PRODUCT(SEMANAL!$B$37,F$33)/25</f>
        <v>8.0399999999999991</v>
      </c>
      <c r="G47" s="128">
        <f>PRODUCT(SEMANAL!$D$37,G$32)/25+PRODUCT(SEMANAL!$B$37,G$33)/25</f>
        <v>1.26</v>
      </c>
      <c r="H47" s="128">
        <f>PRODUCT(SEMANAL!$D$37,H$32)/25+PRODUCT(SEMANAL!$B$37,H$33)/25</f>
        <v>0</v>
      </c>
      <c r="I47" s="128">
        <f>PRODUCT(SEMANAL!$D$37,I$32)/25+PRODUCT(SEMANAL!$B$37,I$33)/25</f>
        <v>0</v>
      </c>
      <c r="J47" s="119">
        <f>SUM('OC CHILLAR 2'!B52:I52)</f>
        <v>6</v>
      </c>
      <c r="K47" s="3">
        <v>700</v>
      </c>
      <c r="L47" s="3">
        <f t="shared" si="3"/>
        <v>4200</v>
      </c>
      <c r="R47" s="3"/>
      <c r="S47" s="3"/>
      <c r="T47" s="3"/>
      <c r="U47" s="3"/>
      <c r="V47" s="3"/>
      <c r="W47" s="3"/>
      <c r="X47" s="3"/>
    </row>
    <row r="48" spans="1:24" ht="15.75" customHeight="1">
      <c r="A48" s="61" t="s">
        <v>296</v>
      </c>
      <c r="B48" s="128">
        <f>PRODUCT(SEMANAL!$D$38,B$32)/500+PRODUCT(SEMANAL!$B$38,B$33)/500</f>
        <v>0</v>
      </c>
      <c r="C48" s="128">
        <f>PRODUCT(SEMANAL!$D$38,C$32)/500+PRODUCT(SEMANAL!$B$38,C$33)/500</f>
        <v>0.16500000000000001</v>
      </c>
      <c r="D48" s="128">
        <f>PRODUCT(SEMANAL!$D$38,D$32)/500+PRODUCT(SEMANAL!$B$38,D$33)/500</f>
        <v>0</v>
      </c>
      <c r="E48" s="128">
        <f>PRODUCT(SEMANAL!$D$38,E$32)/500+PRODUCT(SEMANAL!$B$38,E$33)/500</f>
        <v>0</v>
      </c>
      <c r="F48" s="128">
        <f>PRODUCT(SEMANAL!$D$38,F$32)/500+PRODUCT(SEMANAL!$B$38,F$33)/500</f>
        <v>0.40200000000000002</v>
      </c>
      <c r="G48" s="128">
        <f>PRODUCT(SEMANAL!$D$38,G$32)/500+PRODUCT(SEMANAL!$B$38,G$33)/500</f>
        <v>6.3E-2</v>
      </c>
      <c r="H48" s="128">
        <f>PRODUCT(SEMANAL!$D$38,H$32)/500+PRODUCT(SEMANAL!$B$38,H$33)/500</f>
        <v>0</v>
      </c>
      <c r="I48" s="128">
        <f>PRODUCT(SEMANAL!$D$38,I$32)/500+PRODUCT(SEMANAL!$B$38,I$33)/500</f>
        <v>0</v>
      </c>
      <c r="J48" s="119">
        <f>SUM('OC CHILLAR 2'!B53:I53)</f>
        <v>2</v>
      </c>
      <c r="K48" s="3">
        <v>700</v>
      </c>
      <c r="L48" s="3">
        <f t="shared" si="3"/>
        <v>1400</v>
      </c>
      <c r="R48" s="3"/>
      <c r="S48" s="3"/>
      <c r="T48" s="3"/>
      <c r="U48" s="3"/>
      <c r="V48" s="3"/>
      <c r="W48" s="3"/>
      <c r="X48" s="3"/>
    </row>
    <row r="49" spans="1:24" ht="15.75" customHeight="1">
      <c r="A49" s="61" t="s">
        <v>297</v>
      </c>
      <c r="B49" s="128">
        <f>PRODUCT(SEMANAL!$D$39,B$32)/500+PRODUCT(SEMANAL!$B$39,B$33)/500</f>
        <v>0</v>
      </c>
      <c r="C49" s="128">
        <f>PRODUCT(SEMANAL!$D$39,C$32)/500+PRODUCT(SEMANAL!$B$39,C$33)/500</f>
        <v>7.7</v>
      </c>
      <c r="D49" s="128">
        <f>PRODUCT(SEMANAL!$D$39,D$32)/500+PRODUCT(SEMANAL!$B$39,D$33)/500</f>
        <v>0</v>
      </c>
      <c r="E49" s="128">
        <f>PRODUCT(SEMANAL!$D$39,E$32)/500+PRODUCT(SEMANAL!$B$39,E$33)/500</f>
        <v>0</v>
      </c>
      <c r="F49" s="128">
        <f>PRODUCT(SEMANAL!$D$39,F$32)/500+PRODUCT(SEMANAL!$B$39,F$33)/500</f>
        <v>18.760000000000002</v>
      </c>
      <c r="G49" s="128">
        <f>PRODUCT(SEMANAL!$D$39,G$32)/500+PRODUCT(SEMANAL!$B$39,G$33)/500</f>
        <v>2.94</v>
      </c>
      <c r="H49" s="128">
        <f>PRODUCT(SEMANAL!$D$39,H$32)/500+PRODUCT(SEMANAL!$B$39,H$33)/500</f>
        <v>0</v>
      </c>
      <c r="I49" s="128">
        <f>PRODUCT(SEMANAL!$D$39,I$32)/500+PRODUCT(SEMANAL!$B$39,I$33)/500</f>
        <v>0</v>
      </c>
      <c r="J49" s="119">
        <f>SUM('OC CHILLAR 2'!B54:I54)</f>
        <v>30</v>
      </c>
      <c r="K49" s="3">
        <v>1000</v>
      </c>
      <c r="L49" s="3">
        <f t="shared" si="3"/>
        <v>30000</v>
      </c>
      <c r="R49" s="3"/>
      <c r="S49" s="3"/>
      <c r="T49" s="3"/>
      <c r="U49" s="3"/>
      <c r="V49" s="3"/>
      <c r="W49" s="3"/>
      <c r="X49" s="3"/>
    </row>
    <row r="50" spans="1:24" ht="15.75" customHeight="1">
      <c r="A50" s="61" t="s">
        <v>298</v>
      </c>
      <c r="B50" s="129">
        <f>PRODUCT(SEMANAL!$D$40,B$32)/500+PRODUCT(SEMANAL!$B$40,B$33)/500</f>
        <v>0</v>
      </c>
      <c r="C50" s="129">
        <f>PRODUCT(SEMANAL!$D$40,C$32)/500+PRODUCT(SEMANAL!$B$40,C$33)/500</f>
        <v>4.95</v>
      </c>
      <c r="D50" s="129">
        <f>PRODUCT(SEMANAL!$D$40,D$32)/500+PRODUCT(SEMANAL!$B$40,D$33)/500</f>
        <v>0</v>
      </c>
      <c r="E50" s="129">
        <f>PRODUCT(SEMANAL!$D$40,E$32)/500+PRODUCT(SEMANAL!$B$40,E$33)/500</f>
        <v>0</v>
      </c>
      <c r="F50" s="129">
        <f>PRODUCT(SEMANAL!$D$40,F$32)/500+PRODUCT(SEMANAL!$B$40,F$33)/500</f>
        <v>12.06</v>
      </c>
      <c r="G50" s="129">
        <f>PRODUCT(SEMANAL!$D$40,G$32)/500+PRODUCT(SEMANAL!$B$40,G$33)/500</f>
        <v>1.89</v>
      </c>
      <c r="H50" s="129">
        <f>PRODUCT(SEMANAL!$D$40,H$32)/500+PRODUCT(SEMANAL!$B$40,H$33)/500</f>
        <v>0</v>
      </c>
      <c r="I50" s="129">
        <f>PRODUCT(SEMANAL!$D$40,I$32)/500+PRODUCT(SEMANAL!$B$40,I$33)/500</f>
        <v>0</v>
      </c>
      <c r="J50" s="120">
        <f>SUM('OC CHILLAR 2'!B55:I55)</f>
        <v>20</v>
      </c>
      <c r="K50" s="3">
        <v>1100</v>
      </c>
      <c r="L50" s="3">
        <f t="shared" si="3"/>
        <v>22000</v>
      </c>
      <c r="R50" s="3"/>
      <c r="S50" s="3"/>
      <c r="T50" s="3"/>
      <c r="U50" s="3"/>
      <c r="V50" s="3"/>
      <c r="W50" s="3"/>
      <c r="X50" s="3"/>
    </row>
    <row r="51" spans="1:24" ht="15.75" customHeight="1">
      <c r="A51" s="61" t="s">
        <v>109</v>
      </c>
      <c r="B51" s="129">
        <f>PRODUCT(SEMANAL!$D$41,B$32)/1000+PRODUCT(SEMANAL!$B$41,B$33)/1000</f>
        <v>0</v>
      </c>
      <c r="C51" s="129">
        <f>PRODUCT(SEMANAL!$D$41,C$32)/1000+PRODUCT(SEMANAL!$B$41,C$33)/1000</f>
        <v>1.925</v>
      </c>
      <c r="D51" s="129">
        <f>PRODUCT(SEMANAL!$D$41,D$32)/1000+PRODUCT(SEMANAL!$B$41,D$33)/1000</f>
        <v>0</v>
      </c>
      <c r="E51" s="129">
        <f>PRODUCT(SEMANAL!$D$41,E$32)/1000+PRODUCT(SEMANAL!$B$41,E$33)/1000</f>
        <v>0</v>
      </c>
      <c r="F51" s="129">
        <f>PRODUCT(SEMANAL!$D$41,F$32)/1000+PRODUCT(SEMANAL!$B$41,F$33)/1000</f>
        <v>4.6900000000000004</v>
      </c>
      <c r="G51" s="129">
        <f>PRODUCT(SEMANAL!$D$41,G$32)/1000+PRODUCT(SEMANAL!$B$41,G$33)/1000</f>
        <v>0.73499999999999999</v>
      </c>
      <c r="H51" s="129">
        <f>PRODUCT(SEMANAL!$D$41,H$32)/1000+PRODUCT(SEMANAL!$B$41,H$33)/1000</f>
        <v>0</v>
      </c>
      <c r="I51" s="129">
        <f>PRODUCT(SEMANAL!$D$41,I$32)/1000+PRODUCT(SEMANAL!$B$41,I$33)/1000</f>
        <v>0</v>
      </c>
      <c r="J51" s="120">
        <f>SUM('OC CHILLAR 2'!B56:I56)</f>
        <v>7</v>
      </c>
      <c r="K51" s="3">
        <v>2800</v>
      </c>
      <c r="L51" s="3">
        <f t="shared" si="3"/>
        <v>19600</v>
      </c>
      <c r="R51" s="3"/>
      <c r="S51" s="3"/>
      <c r="T51" s="3"/>
      <c r="U51" s="3"/>
      <c r="V51" s="3"/>
      <c r="W51" s="3"/>
      <c r="X51" s="3"/>
    </row>
    <row r="52" spans="1:24" ht="15.75" customHeight="1">
      <c r="A52" s="61" t="s">
        <v>110</v>
      </c>
      <c r="B52" s="129">
        <f>PRODUCT(SEMANAL!$D$42,B$32)/500+PRODUCT(SEMANAL!$B$42,B$33)/500</f>
        <v>0</v>
      </c>
      <c r="C52" s="129">
        <f>PRODUCT(SEMANAL!$D$42,C$32)/500+PRODUCT(SEMANAL!$B$42,C$33)/500</f>
        <v>0.33</v>
      </c>
      <c r="D52" s="129">
        <f>PRODUCT(SEMANAL!$D$42,D$32)/500+PRODUCT(SEMANAL!$B$42,D$33)/500</f>
        <v>0</v>
      </c>
      <c r="E52" s="129">
        <f>PRODUCT(SEMANAL!$D$42,E$32)/500+PRODUCT(SEMANAL!$B$42,E$33)/500</f>
        <v>0</v>
      </c>
      <c r="F52" s="129">
        <f>PRODUCT(SEMANAL!$D$42,F$32)/500+PRODUCT(SEMANAL!$B$42,F$33)/500</f>
        <v>0.80400000000000005</v>
      </c>
      <c r="G52" s="129">
        <f>PRODUCT(SEMANAL!$D$42,G$32)/500+PRODUCT(SEMANAL!$B$42,G$33)/500</f>
        <v>0.126</v>
      </c>
      <c r="H52" s="129">
        <f>PRODUCT(SEMANAL!$D$42,H$32)/500+PRODUCT(SEMANAL!$B$42,H$33)/500</f>
        <v>0</v>
      </c>
      <c r="I52" s="129">
        <f>PRODUCT(SEMANAL!$D$42,I$32)/500+PRODUCT(SEMANAL!$B$42,I$33)/500</f>
        <v>0</v>
      </c>
      <c r="J52" s="120">
        <f>SUM('OC CHILLAR 2'!B57:I57)</f>
        <v>2</v>
      </c>
      <c r="K52" s="3">
        <v>2500</v>
      </c>
      <c r="L52" s="3">
        <f t="shared" si="3"/>
        <v>5000</v>
      </c>
      <c r="R52" s="3"/>
      <c r="S52" s="3"/>
      <c r="T52" s="3"/>
      <c r="U52" s="3"/>
      <c r="V52" s="3"/>
      <c r="W52" s="3"/>
      <c r="X52" s="3"/>
    </row>
    <row r="53" spans="1:24" ht="15.75" customHeight="1">
      <c r="A53" s="61" t="s">
        <v>111</v>
      </c>
      <c r="B53" s="129">
        <f>PRODUCT(SEMANAL!$D$43,B$32)/100+PRODUCT(SEMANAL!$B$43,B$33)/100</f>
        <v>0</v>
      </c>
      <c r="C53" s="129">
        <f>PRODUCT(SEMANAL!$D$43,C$32)/100+PRODUCT(SEMANAL!$B$43,C$33)/100</f>
        <v>0</v>
      </c>
      <c r="D53" s="129">
        <f>PRODUCT(SEMANAL!$D$43,D$32)/100+PRODUCT(SEMANAL!$B$43,D$33)/100</f>
        <v>0</v>
      </c>
      <c r="E53" s="129">
        <f>PRODUCT(SEMANAL!$D$43,E$32)/100+PRODUCT(SEMANAL!$B$43,E$33)/100</f>
        <v>0</v>
      </c>
      <c r="F53" s="129">
        <f>PRODUCT(SEMANAL!$D$43,F$32)/100+PRODUCT(SEMANAL!$B$43,F$33)/100</f>
        <v>0</v>
      </c>
      <c r="G53" s="129">
        <f>PRODUCT(SEMANAL!$D$43,G$32)/100+PRODUCT(SEMANAL!$B$43,G$33)/100</f>
        <v>0</v>
      </c>
      <c r="H53" s="129">
        <f>PRODUCT(SEMANAL!$D$43,H$32)/100+PRODUCT(SEMANAL!$B$43,H$33)/100</f>
        <v>0</v>
      </c>
      <c r="I53" s="129">
        <f>PRODUCT(SEMANAL!$D$43,I$32)/100+PRODUCT(SEMANAL!$B$43,I$33)/100</f>
        <v>0</v>
      </c>
      <c r="J53" s="120">
        <f>SUM('OC CHILLAR 2'!B58:I58)</f>
        <v>0</v>
      </c>
      <c r="K53" s="3">
        <v>1700</v>
      </c>
      <c r="L53" s="3">
        <f t="shared" si="3"/>
        <v>0</v>
      </c>
      <c r="R53" s="3"/>
      <c r="S53" s="3"/>
      <c r="T53" s="3"/>
      <c r="U53" s="3"/>
      <c r="V53" s="3"/>
      <c r="W53" s="3"/>
      <c r="X53" s="3"/>
    </row>
    <row r="54" spans="1:24" ht="15.75" customHeight="1">
      <c r="A54" s="61" t="s">
        <v>112</v>
      </c>
      <c r="B54" s="129">
        <f>PRODUCT(SEMANAL!$D$44,B$32)/1000+PRODUCT(SEMANAL!$B$44,B$33)/1000</f>
        <v>0</v>
      </c>
      <c r="C54" s="129">
        <f>PRODUCT(SEMANAL!$D$44,C$32)/1000+PRODUCT(SEMANAL!$B$44,C$33)/1000</f>
        <v>2.75</v>
      </c>
      <c r="D54" s="129">
        <f>PRODUCT(SEMANAL!$D$44,D$32)/1000+PRODUCT(SEMANAL!$B$44,D$33)/1000</f>
        <v>0</v>
      </c>
      <c r="E54" s="129">
        <f>PRODUCT(SEMANAL!$D$44,E$32)/1000+PRODUCT(SEMANAL!$B$44,E$33)/1000</f>
        <v>0</v>
      </c>
      <c r="F54" s="129">
        <f>PRODUCT(SEMANAL!$D$44,F$32)/1000+PRODUCT(SEMANAL!$B$44,F$33)/1000</f>
        <v>6.7</v>
      </c>
      <c r="G54" s="129">
        <f>PRODUCT(SEMANAL!$D$44,G$32)/1000+PRODUCT(SEMANAL!$B$44,G$33)/1000</f>
        <v>1.05</v>
      </c>
      <c r="H54" s="129">
        <f>PRODUCT(SEMANAL!$D$44,H$32)/1000+PRODUCT(SEMANAL!$B$44,H$33)/1000</f>
        <v>0</v>
      </c>
      <c r="I54" s="129">
        <f>PRODUCT(SEMANAL!$D$44,I$32)/1000+PRODUCT(SEMANAL!$B$44,I$33)/1000</f>
        <v>0</v>
      </c>
      <c r="J54" s="120">
        <f>SUM('OC CHILLAR 2'!B59:I59)</f>
        <v>12</v>
      </c>
      <c r="K54" s="3">
        <v>1600</v>
      </c>
      <c r="L54" s="3">
        <f t="shared" si="3"/>
        <v>19200</v>
      </c>
      <c r="R54" s="3"/>
      <c r="S54" s="3"/>
      <c r="T54" s="3"/>
      <c r="U54" s="3"/>
      <c r="V54" s="3"/>
      <c r="W54" s="3"/>
      <c r="X54" s="3"/>
    </row>
    <row r="55" spans="1:24" ht="15.75" customHeight="1">
      <c r="A55" s="61" t="s">
        <v>113</v>
      </c>
      <c r="B55" s="129">
        <f>PRODUCT(SEMANAL!$D$45,B$32)/1000+PRODUCT(SEMANAL!$B$45,B$33)/1000</f>
        <v>0</v>
      </c>
      <c r="C55" s="129">
        <f>PRODUCT(SEMANAL!$D$45,C$32)/1000+PRODUCT(SEMANAL!$B$45,C$33)/1000</f>
        <v>4.125</v>
      </c>
      <c r="D55" s="129">
        <f>PRODUCT(SEMANAL!$D$45,D$32)/1000+PRODUCT(SEMANAL!$B$45,D$33)/1000</f>
        <v>0</v>
      </c>
      <c r="E55" s="129">
        <f>PRODUCT(SEMANAL!$D$45,E$32)/1000+PRODUCT(SEMANAL!$B$45,E$33)/1000</f>
        <v>0</v>
      </c>
      <c r="F55" s="129">
        <f>PRODUCT(SEMANAL!$D$45,F$32)/1000+PRODUCT(SEMANAL!$B$45,F$33)/1000</f>
        <v>10.050000000000001</v>
      </c>
      <c r="G55" s="129">
        <f>PRODUCT(SEMANAL!$D$45,G$32)/1000+PRODUCT(SEMANAL!$B$45,G$33)/1000</f>
        <v>1.575</v>
      </c>
      <c r="H55" s="129">
        <f>PRODUCT(SEMANAL!$D$45,H$32)/1000+PRODUCT(SEMANAL!$B$45,H$33)/1000</f>
        <v>0</v>
      </c>
      <c r="I55" s="129">
        <f>PRODUCT(SEMANAL!$D$45,I$32)/1000+PRODUCT(SEMANAL!$B$45,I$33)/1000</f>
        <v>0</v>
      </c>
      <c r="J55" s="120">
        <f>SUM('OC CHILLAR 2'!B60:I60)</f>
        <v>18</v>
      </c>
      <c r="K55" s="3">
        <v>900</v>
      </c>
      <c r="L55" s="3">
        <f t="shared" si="3"/>
        <v>16200</v>
      </c>
      <c r="R55" s="3"/>
      <c r="S55" s="3"/>
      <c r="T55" s="3"/>
      <c r="U55" s="3"/>
      <c r="V55" s="3"/>
      <c r="W55" s="3"/>
      <c r="X55" s="3"/>
    </row>
    <row r="56" spans="1:24" ht="15.75" customHeight="1">
      <c r="A56" s="61" t="s">
        <v>114</v>
      </c>
      <c r="B56" s="129">
        <f>PRODUCT(SEMANAL!$D$46,B$32)/20+PRODUCT(SEMANAL!$B$46,B$33)/20</f>
        <v>0</v>
      </c>
      <c r="C56" s="129">
        <f>PRODUCT(SEMANAL!$D$46,C$32)/20+PRODUCT(SEMANAL!$B$46,C$33)/20</f>
        <v>0.96250000000000002</v>
      </c>
      <c r="D56" s="129">
        <f>PRODUCT(SEMANAL!$D$46,D$32)/20+PRODUCT(SEMANAL!$B$46,D$33)/20</f>
        <v>0</v>
      </c>
      <c r="E56" s="129">
        <f>PRODUCT(SEMANAL!$D$46,E$32)/20+PRODUCT(SEMANAL!$B$46,E$33)/20</f>
        <v>0</v>
      </c>
      <c r="F56" s="129">
        <f>PRODUCT(SEMANAL!$D$46,F$32)/20+PRODUCT(SEMANAL!$B$46,F$33)/20</f>
        <v>2.3449999999999998</v>
      </c>
      <c r="G56" s="129">
        <f>PRODUCT(SEMANAL!$D$46,G$32)/20+PRODUCT(SEMANAL!$B$46,G$33)/20</f>
        <v>0.36749999999999999</v>
      </c>
      <c r="H56" s="129">
        <f>PRODUCT(SEMANAL!$D$46,H$32)/20+PRODUCT(SEMANAL!$B$46,H$33)/20</f>
        <v>0</v>
      </c>
      <c r="I56" s="129">
        <f>PRODUCT(SEMANAL!$D$46,I$32)/20+PRODUCT(SEMANAL!$B$46,I$33)/20</f>
        <v>0</v>
      </c>
      <c r="J56" s="120">
        <f>SUM('OC CHILLAR 2'!B61:I61)</f>
        <v>5</v>
      </c>
      <c r="K56" s="3">
        <v>1200</v>
      </c>
      <c r="L56" s="3">
        <f t="shared" si="3"/>
        <v>6000</v>
      </c>
      <c r="R56" s="3"/>
      <c r="S56" s="3"/>
      <c r="T56" s="3"/>
      <c r="U56" s="3"/>
      <c r="V56" s="3"/>
      <c r="W56" s="3"/>
      <c r="X56" s="3"/>
    </row>
    <row r="57" spans="1:24" ht="15.75" customHeight="1">
      <c r="A57" s="3"/>
      <c r="B57" s="3"/>
      <c r="C57" s="3"/>
      <c r="D57" s="3"/>
      <c r="E57" s="3"/>
      <c r="F57" s="3"/>
      <c r="G57" s="3"/>
      <c r="H57" s="3"/>
      <c r="I57" s="3"/>
      <c r="J57" s="120"/>
      <c r="K57" s="3" t="s">
        <v>280</v>
      </c>
      <c r="L57" s="3">
        <f>SUM(L34:L56)</f>
        <v>909850</v>
      </c>
      <c r="M57" s="3"/>
      <c r="N57" s="3"/>
      <c r="O57" s="3"/>
      <c r="P57" s="3"/>
      <c r="R57" s="1"/>
      <c r="S57" s="1"/>
      <c r="T57" s="1"/>
      <c r="U57" s="1"/>
      <c r="V57" s="1"/>
      <c r="W57" s="1"/>
      <c r="X57" s="1"/>
    </row>
    <row r="58" spans="1:24" ht="15.75" customHeight="1">
      <c r="A58" s="3"/>
      <c r="B58" s="3"/>
      <c r="C58" s="3"/>
      <c r="D58" s="3"/>
      <c r="E58" s="3"/>
      <c r="F58" s="3"/>
      <c r="G58" s="3"/>
      <c r="H58" s="3"/>
      <c r="I58" s="3"/>
      <c r="J58" s="102"/>
      <c r="K58" s="1"/>
      <c r="L58" s="1"/>
      <c r="M58" s="3"/>
      <c r="N58" s="3"/>
      <c r="O58" s="3"/>
      <c r="P58" s="3"/>
    </row>
    <row r="59" spans="1:24" ht="15.75" customHeight="1">
      <c r="A59" s="2" t="s">
        <v>168</v>
      </c>
      <c r="B59" s="4"/>
      <c r="C59" s="3"/>
      <c r="D59" s="3"/>
      <c r="E59" s="3"/>
      <c r="F59" s="3"/>
      <c r="G59" s="3"/>
      <c r="H59" s="3"/>
      <c r="I59" s="3"/>
      <c r="J59" s="102"/>
      <c r="K59" s="1"/>
      <c r="L59" s="1"/>
      <c r="M59" s="3"/>
      <c r="N59" s="3"/>
      <c r="O59" s="3"/>
      <c r="P59" s="3"/>
      <c r="R59" s="1"/>
      <c r="S59" s="1"/>
      <c r="T59" s="1"/>
      <c r="U59" s="1"/>
      <c r="V59" s="1"/>
      <c r="W59" s="1"/>
      <c r="X59" s="1"/>
    </row>
    <row r="60" spans="1:24" ht="15.75" customHeight="1">
      <c r="A60" s="2" t="s">
        <v>317</v>
      </c>
      <c r="B60" s="3"/>
      <c r="C60" s="3"/>
      <c r="D60" s="3"/>
      <c r="E60" s="3"/>
      <c r="F60" s="3"/>
      <c r="G60" s="3"/>
      <c r="H60" s="3"/>
      <c r="I60" s="3"/>
      <c r="J60" s="102"/>
      <c r="K60" s="1"/>
      <c r="L60" s="1"/>
      <c r="M60" s="3"/>
      <c r="N60" s="3"/>
      <c r="O60" s="3"/>
      <c r="P60" s="3"/>
      <c r="R60" s="1"/>
      <c r="S60" s="1"/>
      <c r="T60" s="1"/>
      <c r="U60" s="1"/>
      <c r="V60" s="1"/>
      <c r="W60" s="1"/>
      <c r="X60" s="1"/>
    </row>
    <row r="61" spans="1:24" ht="15.75" customHeight="1">
      <c r="A61" s="111"/>
      <c r="B61" s="138" t="s">
        <v>308</v>
      </c>
      <c r="C61" s="138" t="s">
        <v>309</v>
      </c>
      <c r="D61" s="138" t="s">
        <v>310</v>
      </c>
      <c r="E61" s="138" t="s">
        <v>311</v>
      </c>
      <c r="F61" s="138" t="s">
        <v>312</v>
      </c>
      <c r="G61" s="138" t="s">
        <v>313</v>
      </c>
      <c r="H61" s="138" t="s">
        <v>314</v>
      </c>
      <c r="I61" s="138" t="s">
        <v>315</v>
      </c>
      <c r="J61" s="3" t="s">
        <v>280</v>
      </c>
      <c r="K61" s="1"/>
      <c r="L61" s="1"/>
      <c r="R61" s="3"/>
      <c r="S61" s="3"/>
      <c r="T61" s="3"/>
      <c r="U61" s="3"/>
      <c r="V61" s="3"/>
      <c r="W61" s="3"/>
      <c r="X61" s="3"/>
    </row>
    <row r="62" spans="1:24" ht="15.75" customHeight="1">
      <c r="A62" s="122" t="s">
        <v>277</v>
      </c>
      <c r="B62" s="123">
        <v>138</v>
      </c>
      <c r="C62" s="123">
        <v>147</v>
      </c>
      <c r="D62" s="123">
        <v>8</v>
      </c>
      <c r="E62" s="123">
        <v>5</v>
      </c>
      <c r="F62" s="123">
        <v>134</v>
      </c>
      <c r="G62" s="123">
        <v>60</v>
      </c>
      <c r="H62" s="123">
        <v>250</v>
      </c>
      <c r="I62" s="123">
        <v>3</v>
      </c>
      <c r="J62" s="119">
        <f t="shared" ref="J62:J63" si="4">SUM(B62:I62)</f>
        <v>745</v>
      </c>
      <c r="K62" s="1"/>
      <c r="L62" s="1"/>
      <c r="R62" s="3"/>
      <c r="S62" s="3"/>
      <c r="T62" s="3"/>
      <c r="U62" s="3"/>
      <c r="V62" s="3"/>
      <c r="W62" s="3"/>
      <c r="X62" s="3"/>
    </row>
    <row r="63" spans="1:24" ht="15.75" customHeight="1">
      <c r="A63" s="122" t="s">
        <v>278</v>
      </c>
      <c r="B63" s="123">
        <v>0</v>
      </c>
      <c r="C63" s="123">
        <v>55</v>
      </c>
      <c r="D63" s="123">
        <v>0</v>
      </c>
      <c r="E63" s="123">
        <v>0</v>
      </c>
      <c r="F63" s="123">
        <v>134</v>
      </c>
      <c r="G63" s="123">
        <v>21</v>
      </c>
      <c r="H63" s="123">
        <v>0</v>
      </c>
      <c r="I63" s="123">
        <v>0</v>
      </c>
      <c r="J63" s="119">
        <f t="shared" si="4"/>
        <v>210</v>
      </c>
      <c r="K63" s="1" t="s">
        <v>18</v>
      </c>
      <c r="L63" s="1" t="s">
        <v>279</v>
      </c>
      <c r="R63" s="3"/>
      <c r="S63" s="3"/>
      <c r="T63" s="3"/>
      <c r="U63" s="3"/>
      <c r="V63" s="3"/>
      <c r="W63" s="3"/>
      <c r="X63" s="3"/>
    </row>
    <row r="64" spans="1:24" ht="15.75" customHeight="1">
      <c r="A64" s="61" t="s">
        <v>170</v>
      </c>
      <c r="B64" s="128">
        <f>PRODUCT(SEMANAL!$B$52,B$63)/1000</f>
        <v>0</v>
      </c>
      <c r="C64" s="128">
        <f>PRODUCT(SEMANAL!$B$52,C$63)/1000</f>
        <v>5.5</v>
      </c>
      <c r="D64" s="128">
        <f>PRODUCT(SEMANAL!$B$52,D$63)/1000</f>
        <v>0</v>
      </c>
      <c r="E64" s="128">
        <f>PRODUCT(SEMANAL!$B$52,E$63)/1000</f>
        <v>0</v>
      </c>
      <c r="F64" s="128">
        <f>PRODUCT(SEMANAL!$B$52,F$63)/1000</f>
        <v>13.4</v>
      </c>
      <c r="G64" s="128">
        <f>PRODUCT(SEMANAL!$B$52,G$63)/1000</f>
        <v>2.1</v>
      </c>
      <c r="H64" s="128">
        <f>PRODUCT(SEMANAL!$B$52,H$63)/1000</f>
        <v>0</v>
      </c>
      <c r="I64" s="128">
        <f>PRODUCT(SEMANAL!$B$52,I$63)/1000</f>
        <v>0</v>
      </c>
      <c r="J64" s="119">
        <f>SUM('OC CHILLAR 2'!B71:I71)</f>
        <v>23</v>
      </c>
      <c r="K64" s="1">
        <v>9500</v>
      </c>
      <c r="L64" s="1">
        <f t="shared" ref="L64:L66" si="5">PRODUCT(J64:K64)</f>
        <v>218500</v>
      </c>
      <c r="R64" s="3"/>
      <c r="S64" s="3"/>
      <c r="T64" s="3"/>
      <c r="U64" s="3"/>
      <c r="V64" s="3"/>
      <c r="W64" s="3"/>
      <c r="X64" s="3"/>
    </row>
    <row r="65" spans="1:24" ht="15.75" customHeight="1">
      <c r="A65" s="61" t="s">
        <v>301</v>
      </c>
      <c r="B65" s="128">
        <f>PRODUCT(SEMANAL!$B$53,B$63)/1000*1.68</f>
        <v>0</v>
      </c>
      <c r="C65" s="128">
        <f>PRODUCT(SEMANAL!$B$53,C$63)/1000*1.68</f>
        <v>7.3920000000000003</v>
      </c>
      <c r="D65" s="128">
        <f>PRODUCT(SEMANAL!$B$53,D$63)/1000*1.68</f>
        <v>0</v>
      </c>
      <c r="E65" s="128">
        <f>PRODUCT(SEMANAL!$B$53,E$63)/1000*1.68</f>
        <v>0</v>
      </c>
      <c r="F65" s="128">
        <f>PRODUCT(SEMANAL!$B$53,F$63)/1000*1.68</f>
        <v>18.009599999999999</v>
      </c>
      <c r="G65" s="128">
        <f>PRODUCT(SEMANAL!$B$53,G$63)/1000*1.68</f>
        <v>2.8223999999999996</v>
      </c>
      <c r="H65" s="128">
        <f>PRODUCT(SEMANAL!$B$53,H$63)/1000*1.68</f>
        <v>0</v>
      </c>
      <c r="I65" s="128">
        <f>PRODUCT(SEMANAL!$B$53,I$63)/1000*1.68</f>
        <v>0</v>
      </c>
      <c r="J65" s="119">
        <f>SUM('OC CHILLAR 2'!B72:I72)</f>
        <v>30</v>
      </c>
      <c r="K65" s="1">
        <v>5500</v>
      </c>
      <c r="L65" s="1">
        <f t="shared" si="5"/>
        <v>165000</v>
      </c>
      <c r="R65" s="3"/>
      <c r="S65" s="3"/>
      <c r="T65" s="3"/>
      <c r="U65" s="3"/>
      <c r="V65" s="3"/>
      <c r="W65" s="3"/>
      <c r="X65" s="3"/>
    </row>
    <row r="66" spans="1:24" ht="15.75" customHeight="1">
      <c r="A66" s="61" t="s">
        <v>172</v>
      </c>
      <c r="B66" s="128">
        <f>PRODUCT(SEMANAL!$B$54,B$63)/1000</f>
        <v>0</v>
      </c>
      <c r="C66" s="128">
        <f>PRODUCT(SEMANAL!$B$54,C$63)/1000</f>
        <v>5.5</v>
      </c>
      <c r="D66" s="128">
        <f>PRODUCT(SEMANAL!$B$54,D$63)/1000</f>
        <v>0</v>
      </c>
      <c r="E66" s="128">
        <f>PRODUCT(SEMANAL!$B$54,E$63)/1000</f>
        <v>0</v>
      </c>
      <c r="F66" s="128">
        <f>PRODUCT(SEMANAL!$B$54,F$63)/1000</f>
        <v>13.4</v>
      </c>
      <c r="G66" s="128">
        <f>PRODUCT(SEMANAL!$B$54,G$63)/1000</f>
        <v>2.1</v>
      </c>
      <c r="H66" s="128">
        <f>PRODUCT(SEMANAL!$B$54,H$63)/1000</f>
        <v>0</v>
      </c>
      <c r="I66" s="128">
        <f>PRODUCT(SEMANAL!$B$54,I$63)/1000</f>
        <v>0</v>
      </c>
      <c r="J66" s="119">
        <f>SUM('OC CHILLAR 2'!B73:I73)</f>
        <v>23</v>
      </c>
      <c r="K66" s="1">
        <v>9500</v>
      </c>
      <c r="L66" s="1">
        <f t="shared" si="5"/>
        <v>218500</v>
      </c>
      <c r="R66" s="3"/>
      <c r="S66" s="3"/>
      <c r="T66" s="3"/>
      <c r="U66" s="3"/>
      <c r="V66" s="3"/>
      <c r="W66" s="3"/>
      <c r="X66" s="3"/>
    </row>
    <row r="67" spans="1:24" ht="15.75" customHeight="1">
      <c r="A67" s="3"/>
      <c r="B67" s="3"/>
      <c r="C67" s="3"/>
      <c r="D67" s="3"/>
      <c r="E67" s="3"/>
      <c r="F67" s="3"/>
      <c r="G67" s="3"/>
      <c r="H67" s="3"/>
      <c r="I67" s="3"/>
      <c r="J67" s="142"/>
      <c r="K67" s="3" t="s">
        <v>280</v>
      </c>
      <c r="L67" s="1">
        <f>SUM(L64:L66)</f>
        <v>602000</v>
      </c>
      <c r="M67" s="3"/>
      <c r="N67" s="3"/>
      <c r="O67" s="3"/>
      <c r="P67" s="3"/>
      <c r="R67" s="1"/>
      <c r="S67" s="1"/>
      <c r="T67" s="1"/>
      <c r="U67" s="1"/>
      <c r="V67" s="1"/>
      <c r="W67" s="1"/>
      <c r="X67" s="1"/>
    </row>
    <row r="68" spans="1:24" ht="15.75" customHeight="1">
      <c r="A68" s="3"/>
      <c r="B68" s="3"/>
      <c r="C68" s="3"/>
      <c r="D68" s="3"/>
      <c r="E68" s="3"/>
      <c r="F68" s="3"/>
      <c r="G68" s="3"/>
      <c r="H68" s="3"/>
      <c r="I68" s="3"/>
      <c r="J68" s="102"/>
      <c r="K68" s="1"/>
      <c r="L68" s="1"/>
      <c r="M68" s="3"/>
      <c r="N68" s="3"/>
      <c r="O68" s="3"/>
      <c r="P68" s="3"/>
      <c r="R68" s="1"/>
      <c r="S68" s="1"/>
      <c r="T68" s="1"/>
      <c r="U68" s="1"/>
      <c r="V68" s="1"/>
      <c r="W68" s="1"/>
      <c r="X68" s="1"/>
    </row>
    <row r="69" spans="1:24" ht="15.75" customHeight="1">
      <c r="A69" s="2" t="s">
        <v>176</v>
      </c>
      <c r="B69" s="4"/>
      <c r="C69" s="3"/>
      <c r="D69" s="3"/>
      <c r="E69" s="3"/>
      <c r="F69" s="3"/>
      <c r="G69" s="3"/>
      <c r="H69" s="3"/>
      <c r="I69" s="3"/>
      <c r="J69" s="102"/>
      <c r="K69" s="1"/>
      <c r="L69" s="1"/>
      <c r="M69" s="3"/>
      <c r="N69" s="3"/>
      <c r="O69" s="3"/>
      <c r="P69" s="3"/>
      <c r="R69" s="1"/>
      <c r="S69" s="1"/>
      <c r="T69" s="1"/>
      <c r="U69" s="1"/>
      <c r="V69" s="1"/>
      <c r="W69" s="1"/>
      <c r="X69" s="1"/>
    </row>
    <row r="70" spans="1:24" ht="15.75" customHeight="1">
      <c r="A70" s="2" t="s">
        <v>318</v>
      </c>
      <c r="B70" s="3"/>
      <c r="C70" s="3"/>
      <c r="D70" s="3"/>
      <c r="E70" s="3"/>
      <c r="F70" s="3"/>
      <c r="G70" s="3"/>
      <c r="H70" s="3"/>
      <c r="I70" s="3"/>
      <c r="J70" s="102"/>
      <c r="K70" s="1"/>
      <c r="L70" s="1"/>
      <c r="M70" s="3"/>
      <c r="N70" s="3"/>
      <c r="O70" s="3"/>
      <c r="P70" s="3"/>
      <c r="R70" s="1"/>
      <c r="S70" s="1"/>
      <c r="T70" s="1"/>
      <c r="U70" s="1"/>
      <c r="V70" s="1"/>
      <c r="W70" s="1"/>
      <c r="X70" s="1"/>
    </row>
    <row r="71" spans="1:24" ht="15.75" customHeight="1">
      <c r="A71" s="3"/>
      <c r="B71" s="3"/>
      <c r="C71" s="3"/>
      <c r="D71" s="3"/>
      <c r="E71" s="3"/>
      <c r="F71" s="3"/>
      <c r="G71" s="3"/>
      <c r="H71" s="3"/>
      <c r="I71" s="3"/>
      <c r="J71" s="102"/>
      <c r="K71" s="1"/>
      <c r="L71" s="1"/>
      <c r="M71" s="3"/>
      <c r="N71" s="3"/>
      <c r="O71" s="3"/>
      <c r="P71" s="3"/>
      <c r="R71" s="1"/>
      <c r="S71" s="1"/>
      <c r="T71" s="1"/>
      <c r="U71" s="1"/>
      <c r="V71" s="1"/>
      <c r="W71" s="1"/>
      <c r="X71" s="1"/>
    </row>
    <row r="72" spans="1:24" ht="15.75" customHeight="1">
      <c r="A72" s="3"/>
      <c r="B72" s="3"/>
      <c r="C72" s="3"/>
      <c r="D72" s="3"/>
      <c r="E72" s="3"/>
      <c r="F72" s="3"/>
      <c r="G72" s="3"/>
      <c r="H72" s="3"/>
      <c r="I72" s="3"/>
      <c r="J72" s="1"/>
      <c r="K72" s="3" t="s">
        <v>280</v>
      </c>
      <c r="L72" s="3"/>
      <c r="M72" s="3"/>
      <c r="N72" s="3"/>
      <c r="O72" s="3"/>
      <c r="P72" s="3"/>
      <c r="R72" s="1"/>
      <c r="S72" s="1"/>
      <c r="T72" s="1"/>
      <c r="U72" s="1"/>
      <c r="V72" s="1"/>
      <c r="W72" s="1"/>
      <c r="X72" s="1"/>
    </row>
    <row r="73" spans="1:24" ht="15.75" customHeight="1">
      <c r="A73" s="111"/>
      <c r="B73" s="138" t="s">
        <v>308</v>
      </c>
      <c r="C73" s="138" t="s">
        <v>309</v>
      </c>
      <c r="D73" s="138" t="s">
        <v>310</v>
      </c>
      <c r="E73" s="138" t="s">
        <v>311</v>
      </c>
      <c r="F73" s="138" t="s">
        <v>312</v>
      </c>
      <c r="G73" s="138" t="s">
        <v>313</v>
      </c>
      <c r="H73" s="138" t="s">
        <v>314</v>
      </c>
      <c r="I73" s="140" t="s">
        <v>315</v>
      </c>
      <c r="J73" s="111" t="s">
        <v>280</v>
      </c>
      <c r="K73" s="3"/>
      <c r="L73" s="3"/>
      <c r="R73" s="3"/>
      <c r="S73" s="3"/>
      <c r="T73" s="3"/>
      <c r="U73" s="3"/>
      <c r="V73" s="3"/>
      <c r="W73" s="3"/>
      <c r="X73" s="3"/>
    </row>
    <row r="74" spans="1:24" ht="15.75" customHeight="1">
      <c r="A74" s="122" t="s">
        <v>277</v>
      </c>
      <c r="B74" s="123">
        <v>138</v>
      </c>
      <c r="C74" s="123">
        <v>147</v>
      </c>
      <c r="D74" s="123">
        <v>8</v>
      </c>
      <c r="E74" s="123">
        <v>5</v>
      </c>
      <c r="F74" s="123">
        <v>134</v>
      </c>
      <c r="G74" s="123">
        <v>60</v>
      </c>
      <c r="H74" s="123">
        <v>250</v>
      </c>
      <c r="I74" s="123">
        <v>3</v>
      </c>
      <c r="J74" s="79">
        <f t="shared" ref="J74:J75" si="6">SUM(B74:I74)</f>
        <v>745</v>
      </c>
      <c r="K74" s="3"/>
      <c r="L74" s="3"/>
      <c r="R74" s="3"/>
      <c r="S74" s="3"/>
      <c r="T74" s="3"/>
      <c r="U74" s="3"/>
      <c r="V74" s="3"/>
      <c r="W74" s="3"/>
      <c r="X74" s="3"/>
    </row>
    <row r="75" spans="1:24" ht="15.75" customHeight="1">
      <c r="A75" s="122" t="s">
        <v>278</v>
      </c>
      <c r="B75" s="123">
        <v>0</v>
      </c>
      <c r="C75" s="123">
        <v>55</v>
      </c>
      <c r="D75" s="123">
        <v>0</v>
      </c>
      <c r="E75" s="123">
        <v>0</v>
      </c>
      <c r="F75" s="123">
        <v>134</v>
      </c>
      <c r="G75" s="123">
        <v>21</v>
      </c>
      <c r="H75" s="123">
        <v>0</v>
      </c>
      <c r="I75" s="123">
        <v>0</v>
      </c>
      <c r="J75" s="79">
        <f t="shared" si="6"/>
        <v>210</v>
      </c>
      <c r="K75" s="1" t="s">
        <v>18</v>
      </c>
      <c r="L75" s="1" t="s">
        <v>279</v>
      </c>
      <c r="R75" s="3"/>
      <c r="S75" s="3"/>
      <c r="T75" s="3"/>
      <c r="U75" s="3"/>
      <c r="V75" s="3"/>
      <c r="W75" s="3"/>
      <c r="X75" s="3"/>
    </row>
    <row r="76" spans="1:24" ht="15.75" customHeight="1">
      <c r="A76" s="61" t="s">
        <v>182</v>
      </c>
      <c r="B76" s="128">
        <f>PRODUCT(SEMANAL!$D$60,B$74)/1000+PRODUCT(SEMANAL!$B$60,B$75)/1000</f>
        <v>6.9</v>
      </c>
      <c r="C76" s="128">
        <f>PRODUCT(SEMANAL!$D$60,C$74)/1000+PRODUCT(SEMANAL!$B$60,C$75)/1000</f>
        <v>7.35</v>
      </c>
      <c r="D76" s="128">
        <f>PRODUCT(SEMANAL!$D$60,D$74)/1000+PRODUCT(SEMANAL!$B$60,D$75)/1000</f>
        <v>0.4</v>
      </c>
      <c r="E76" s="128">
        <f>PRODUCT(SEMANAL!$D$60,E$74)/1000+PRODUCT(SEMANAL!$B$60,E$75)/1000</f>
        <v>0.25</v>
      </c>
      <c r="F76" s="128">
        <f>PRODUCT(SEMANAL!$D$60,F$74)/1000+PRODUCT(SEMANAL!$B$60,F$75)/1000</f>
        <v>6.7</v>
      </c>
      <c r="G76" s="128">
        <f>PRODUCT(SEMANAL!$D$60,G$74)/1000+PRODUCT(SEMANAL!$B$60,G$75)/1000</f>
        <v>3</v>
      </c>
      <c r="H76" s="128">
        <f>PRODUCT(SEMANAL!$D$60,H$74)/1000+PRODUCT(SEMANAL!$B$60,H$75)/1000</f>
        <v>12.5</v>
      </c>
      <c r="I76" s="128">
        <f>PRODUCT(SEMANAL!$D$60,I$74)/1000+PRODUCT(SEMANAL!$B$60,I$75)/1000</f>
        <v>0.15</v>
      </c>
      <c r="J76" s="119">
        <f>SUM('OC CHILLAR 2'!B83:I83)</f>
        <v>41</v>
      </c>
      <c r="K76" s="3">
        <v>4200</v>
      </c>
      <c r="L76" s="3">
        <f t="shared" ref="L76:L81" si="7">PRODUCT(J76:K76)</f>
        <v>172200</v>
      </c>
      <c r="R76" s="3"/>
      <c r="S76" s="3"/>
      <c r="T76" s="3"/>
      <c r="U76" s="3"/>
      <c r="V76" s="3"/>
      <c r="W76" s="3"/>
      <c r="X76" s="3"/>
    </row>
    <row r="77" spans="1:24" ht="15.75" customHeight="1">
      <c r="A77" s="61" t="s">
        <v>183</v>
      </c>
      <c r="B77" s="128">
        <f>PRODUCT(SEMANAL!$D$61,B$74)/1000+PRODUCT(SEMANAL!$B$61,B$75)/1000</f>
        <v>6.9</v>
      </c>
      <c r="C77" s="128">
        <f>PRODUCT(SEMANAL!$D$61,C$74)/1000+PRODUCT(SEMANAL!$B$61,C$75)/1000</f>
        <v>7.35</v>
      </c>
      <c r="D77" s="128">
        <f>PRODUCT(SEMANAL!$D$61,D$74)/1000+PRODUCT(SEMANAL!$B$61,D$75)/1000</f>
        <v>0.4</v>
      </c>
      <c r="E77" s="128">
        <f>PRODUCT(SEMANAL!$D$61,E$74)/1000+PRODUCT(SEMANAL!$B$61,E$75)/1000</f>
        <v>0.25</v>
      </c>
      <c r="F77" s="128">
        <f>PRODUCT(SEMANAL!$D$61,F$74)/1000+PRODUCT(SEMANAL!$B$61,F$75)/1000</f>
        <v>6.7</v>
      </c>
      <c r="G77" s="128">
        <f>PRODUCT(SEMANAL!$D$61,G$74)/1000+PRODUCT(SEMANAL!$B$61,G$75)/1000</f>
        <v>3</v>
      </c>
      <c r="H77" s="128">
        <f>PRODUCT(SEMANAL!$D$61,H$74)/1000+PRODUCT(SEMANAL!$B$61,H$75)/1000</f>
        <v>12.5</v>
      </c>
      <c r="I77" s="128">
        <f>PRODUCT(SEMANAL!$D$61,I$74)/1000+PRODUCT(SEMANAL!$B$61,I$75)/1000</f>
        <v>0.15</v>
      </c>
      <c r="J77" s="119">
        <f>SUM('OC CHILLAR 2'!B84:I84)</f>
        <v>38</v>
      </c>
      <c r="K77" s="3">
        <v>4200</v>
      </c>
      <c r="L77" s="3">
        <f t="shared" si="7"/>
        <v>159600</v>
      </c>
      <c r="R77" s="3"/>
      <c r="S77" s="3"/>
      <c r="T77" s="3"/>
      <c r="U77" s="3"/>
      <c r="V77" s="3"/>
      <c r="W77" s="3"/>
      <c r="X77" s="3"/>
    </row>
    <row r="78" spans="1:24" ht="15.75" customHeight="1">
      <c r="A78" s="61" t="s">
        <v>184</v>
      </c>
      <c r="B78" s="128">
        <f>PRODUCT(SEMANAL!$D$62,B$74)/1000+PRODUCT(SEMANAL!$B$62,B$75)/1000</f>
        <v>6.9</v>
      </c>
      <c r="C78" s="128">
        <f>PRODUCT(SEMANAL!$D$62,C$74)/1000+PRODUCT(SEMANAL!$B$62,C$75)/1000</f>
        <v>7.35</v>
      </c>
      <c r="D78" s="128">
        <f>PRODUCT(SEMANAL!$D$62,D$74)/1000+PRODUCT(SEMANAL!$B$62,D$75)/1000</f>
        <v>0.4</v>
      </c>
      <c r="E78" s="128">
        <f>PRODUCT(SEMANAL!$D$62,E$74)/1000+PRODUCT(SEMANAL!$B$62,E$75)/1000</f>
        <v>0.25</v>
      </c>
      <c r="F78" s="128">
        <f>PRODUCT(SEMANAL!$D$62,F$74)/1000+PRODUCT(SEMANAL!$B$62,F$75)/1000</f>
        <v>6.7</v>
      </c>
      <c r="G78" s="128">
        <f>PRODUCT(SEMANAL!$D$62,G$74)/1000+PRODUCT(SEMANAL!$B$62,G$75)/1000</f>
        <v>3</v>
      </c>
      <c r="H78" s="128">
        <f>PRODUCT(SEMANAL!$D$62,H$74)/1000+PRODUCT(SEMANAL!$B$62,H$75)/1000</f>
        <v>12.5</v>
      </c>
      <c r="I78" s="128">
        <f>PRODUCT(SEMANAL!$D$62,I$74)/1000+PRODUCT(SEMANAL!$B$62,I$75)/1000</f>
        <v>0.15</v>
      </c>
      <c r="J78" s="119">
        <f>SUM('OC CHILLAR 2'!B85:I85)</f>
        <v>41</v>
      </c>
      <c r="K78" s="3">
        <v>4200</v>
      </c>
      <c r="L78" s="3">
        <f t="shared" si="7"/>
        <v>172200</v>
      </c>
      <c r="R78" s="3"/>
      <c r="S78" s="3"/>
      <c r="T78" s="3"/>
      <c r="U78" s="3"/>
      <c r="V78" s="3"/>
      <c r="W78" s="3"/>
      <c r="X78" s="3"/>
    </row>
    <row r="79" spans="1:24" ht="15.75" customHeight="1">
      <c r="A79" s="61" t="s">
        <v>185</v>
      </c>
      <c r="B79" s="128">
        <f>PRODUCT(SEMANAL!$D$63,B$74)/1000+PRODUCT(SEMANAL!$B$63,B$75)/1000</f>
        <v>6.9</v>
      </c>
      <c r="C79" s="128">
        <f>PRODUCT(SEMANAL!$D$63,C$74)/1000+PRODUCT(SEMANAL!$B$63,C$75)/1000</f>
        <v>7.35</v>
      </c>
      <c r="D79" s="128">
        <f>PRODUCT(SEMANAL!$D$63,D$74)/1000+PRODUCT(SEMANAL!$B$63,D$75)/1000</f>
        <v>0.4</v>
      </c>
      <c r="E79" s="128">
        <f>PRODUCT(SEMANAL!$D$63,E$74)/1000+PRODUCT(SEMANAL!$B$63,E$75)/1000</f>
        <v>0.25</v>
      </c>
      <c r="F79" s="128">
        <f>PRODUCT(SEMANAL!$D$63,F$74)/1000+PRODUCT(SEMANAL!$B$63,F$75)/1000</f>
        <v>6.7</v>
      </c>
      <c r="G79" s="128">
        <f>PRODUCT(SEMANAL!$D$63,G$74)/1000+PRODUCT(SEMANAL!$B$63,G$75)/1000</f>
        <v>3</v>
      </c>
      <c r="H79" s="128">
        <f>PRODUCT(SEMANAL!$D$63,H$74)/1000+PRODUCT(SEMANAL!$B$63,H$75)/1000</f>
        <v>12.5</v>
      </c>
      <c r="I79" s="128">
        <f>PRODUCT(SEMANAL!$D$63,I$74)/1000+PRODUCT(SEMANAL!$B$63,I$75)/1000</f>
        <v>0.15</v>
      </c>
      <c r="J79" s="119">
        <f>SUM('OC CHILLAR 2'!B86:I86)</f>
        <v>38</v>
      </c>
      <c r="K79" s="3">
        <v>4200</v>
      </c>
      <c r="L79" s="3">
        <f t="shared" si="7"/>
        <v>159600</v>
      </c>
      <c r="R79" s="3"/>
      <c r="S79" s="3"/>
      <c r="T79" s="3"/>
      <c r="U79" s="3"/>
      <c r="V79" s="3"/>
      <c r="W79" s="3"/>
      <c r="X79" s="3"/>
    </row>
    <row r="80" spans="1:24" ht="15.75" customHeight="1">
      <c r="A80" s="61" t="s">
        <v>186</v>
      </c>
      <c r="B80" s="128">
        <f>PRODUCT(SEMANAL!$D$64,B$74)/1000+PRODUCT(SEMANAL!$B$64,B$75)/1000</f>
        <v>6.9</v>
      </c>
      <c r="C80" s="128">
        <f>PRODUCT(SEMANAL!$D$64,C$74)/1000+PRODUCT(SEMANAL!$B$64,C$75)/1000</f>
        <v>7.35</v>
      </c>
      <c r="D80" s="128">
        <f>PRODUCT(SEMANAL!$D$64,D$74)/1000+PRODUCT(SEMANAL!$B$64,D$75)/1000</f>
        <v>0.4</v>
      </c>
      <c r="E80" s="128">
        <f>PRODUCT(SEMANAL!$D$64,E$74)/1000+PRODUCT(SEMANAL!$B$64,E$75)/1000</f>
        <v>0.25</v>
      </c>
      <c r="F80" s="128">
        <f>PRODUCT(SEMANAL!$D$64,F$74)/1000+PRODUCT(SEMANAL!$B$64,F$75)/1000</f>
        <v>6.7</v>
      </c>
      <c r="G80" s="128">
        <f>PRODUCT(SEMANAL!$D$64,G$74)/1000+PRODUCT(SEMANAL!$B$64,G$75)/1000</f>
        <v>3</v>
      </c>
      <c r="H80" s="128">
        <f>PRODUCT(SEMANAL!$D$64,H$74)/1000+PRODUCT(SEMANAL!$B$64,H$75)/1000</f>
        <v>12.5</v>
      </c>
      <c r="I80" s="128">
        <f>PRODUCT(SEMANAL!$D$64,I$74)/1000+PRODUCT(SEMANAL!$B$64,I$75)/1000</f>
        <v>0.15</v>
      </c>
      <c r="J80" s="119">
        <f>SUM('OC CHILLAR 2'!B87:I87)</f>
        <v>41</v>
      </c>
      <c r="K80" s="3">
        <v>4200</v>
      </c>
      <c r="L80" s="3">
        <f t="shared" si="7"/>
        <v>172200</v>
      </c>
      <c r="R80" s="3"/>
      <c r="S80" s="3"/>
      <c r="T80" s="3"/>
      <c r="U80" s="3"/>
      <c r="V80" s="3"/>
      <c r="W80" s="3"/>
      <c r="X80" s="3"/>
    </row>
    <row r="81" spans="1:24" ht="15.75" customHeight="1">
      <c r="A81" s="61" t="s">
        <v>319</v>
      </c>
      <c r="B81" s="128">
        <f>PRODUCT(SEMANAL!$D$65,B$74)/1000+PRODUCT(SEMANAL!$B$65,B$75)/1000</f>
        <v>0</v>
      </c>
      <c r="C81" s="128">
        <f>PRODUCT(SEMANAL!$D$65,C$74)/1000+PRODUCT(SEMANAL!$B$65,C$75)/1000</f>
        <v>0</v>
      </c>
      <c r="D81" s="128">
        <f>PRODUCT(SEMANAL!$D$65,D$74)/1000+PRODUCT(SEMANAL!$B$65,D$75)/1000</f>
        <v>0</v>
      </c>
      <c r="E81" s="128">
        <f>PRODUCT(SEMANAL!$D$65,E$74)/1000+PRODUCT(SEMANAL!$B$65,E$75)/1000</f>
        <v>0</v>
      </c>
      <c r="F81" s="128">
        <f>PRODUCT(SEMANAL!$D$65,F$74)/1000+PRODUCT(SEMANAL!$B$65,F$75)/1000</f>
        <v>0</v>
      </c>
      <c r="G81" s="128">
        <f>PRODUCT(SEMANAL!$D$65,G$74)/1000+PRODUCT(SEMANAL!$B$65,G$75)/1000</f>
        <v>0</v>
      </c>
      <c r="H81" s="128">
        <f>PRODUCT(SEMANAL!$D$65,H$74)/1000+PRODUCT(SEMANAL!$B$65,H$75)/1000</f>
        <v>0</v>
      </c>
      <c r="I81" s="128">
        <f>PRODUCT(SEMANAL!$D$65,I$74)/1000+PRODUCT(SEMANAL!$B$65,I$75)/1000</f>
        <v>0</v>
      </c>
      <c r="J81" s="119">
        <f>SUM('OC CHILLAR 2'!B88:I88)</f>
        <v>0</v>
      </c>
      <c r="K81" s="3">
        <v>4200</v>
      </c>
      <c r="L81" s="3">
        <f t="shared" si="7"/>
        <v>0</v>
      </c>
      <c r="R81" s="3"/>
      <c r="S81" s="3"/>
      <c r="T81" s="3"/>
      <c r="U81" s="3"/>
      <c r="V81" s="3"/>
      <c r="W81" s="3"/>
      <c r="X81" s="3"/>
    </row>
    <row r="82" spans="1:24" ht="15.75" customHeight="1">
      <c r="A82" s="3"/>
      <c r="B82" s="3"/>
      <c r="C82" s="3"/>
      <c r="D82" s="3"/>
      <c r="E82" s="3"/>
      <c r="F82" s="3"/>
      <c r="G82" s="3"/>
      <c r="H82" s="3"/>
      <c r="I82" s="3"/>
      <c r="J82" s="142"/>
      <c r="K82" s="3" t="s">
        <v>280</v>
      </c>
      <c r="L82" s="3">
        <f>SUM(L76:L81)</f>
        <v>835800</v>
      </c>
      <c r="M82" s="3"/>
      <c r="N82" s="3"/>
      <c r="O82" s="3"/>
      <c r="P82" s="3"/>
      <c r="R82" s="1"/>
      <c r="S82" s="1"/>
      <c r="T82" s="1"/>
      <c r="U82" s="1"/>
      <c r="V82" s="1"/>
      <c r="W82" s="1"/>
      <c r="X82" s="1"/>
    </row>
    <row r="83" spans="1:24" ht="15.75" customHeight="1">
      <c r="A83" s="3"/>
      <c r="B83" s="3"/>
      <c r="C83" s="3"/>
      <c r="D83" s="3"/>
      <c r="E83" s="3"/>
      <c r="F83" s="3"/>
      <c r="G83" s="3"/>
      <c r="H83" s="3"/>
      <c r="I83" s="143"/>
      <c r="J83" s="3"/>
      <c r="K83" s="132" t="s">
        <v>189</v>
      </c>
      <c r="L83" s="3">
        <f>SUM(L27,L57,L67,L82)</f>
        <v>3138900</v>
      </c>
      <c r="M83" s="143"/>
      <c r="N83" s="143"/>
      <c r="O83" s="143"/>
      <c r="P83" s="143"/>
    </row>
    <row r="84" spans="1:24" ht="15.75" customHeight="1">
      <c r="A84" s="3"/>
      <c r="B84" s="3"/>
      <c r="C84" s="3"/>
      <c r="D84" s="3"/>
      <c r="E84" s="3"/>
      <c r="F84" s="3"/>
      <c r="G84" s="3"/>
      <c r="H84" s="3"/>
      <c r="I84" s="144"/>
      <c r="J84" s="3"/>
      <c r="L84" s="3"/>
      <c r="M84" s="144"/>
      <c r="N84" s="144"/>
      <c r="O84" s="144"/>
      <c r="P84" s="144"/>
    </row>
    <row r="85" spans="1:24" ht="15.75" customHeight="1">
      <c r="A85" s="3"/>
      <c r="B85" s="3"/>
      <c r="C85" s="3"/>
      <c r="D85" s="3"/>
      <c r="E85" s="3"/>
      <c r="F85" s="3"/>
      <c r="G85" s="3"/>
      <c r="H85" s="3"/>
      <c r="I85" s="144"/>
      <c r="J85" s="144"/>
      <c r="K85" s="144"/>
      <c r="L85" s="144"/>
      <c r="M85" s="144"/>
      <c r="N85" s="144"/>
      <c r="O85" s="144"/>
      <c r="P85" s="144"/>
    </row>
    <row r="86" spans="1:24" ht="15.75" customHeight="1">
      <c r="A86" s="2"/>
      <c r="B86" s="3"/>
      <c r="C86" s="3"/>
      <c r="D86" s="3"/>
      <c r="E86" s="3"/>
      <c r="F86" s="3"/>
      <c r="G86" s="3"/>
      <c r="H86" s="3"/>
      <c r="I86" s="133"/>
      <c r="J86" s="133"/>
      <c r="K86" s="133"/>
      <c r="L86" s="133"/>
      <c r="M86" s="133"/>
      <c r="N86" s="133"/>
      <c r="O86" s="133"/>
      <c r="P86" s="133"/>
    </row>
    <row r="87" spans="1:24" ht="15.75" customHeight="1">
      <c r="A87" s="2"/>
      <c r="B87" s="3"/>
      <c r="C87" s="3"/>
      <c r="D87" s="3"/>
      <c r="E87" s="3"/>
      <c r="F87" s="3"/>
      <c r="G87" s="3"/>
      <c r="H87" s="3"/>
      <c r="I87" s="133"/>
      <c r="J87" s="133"/>
      <c r="K87" s="133"/>
      <c r="L87" s="133"/>
      <c r="M87" s="133"/>
      <c r="N87" s="133"/>
      <c r="O87" s="133"/>
      <c r="P87" s="133"/>
    </row>
    <row r="88" spans="1:24" ht="15.75" customHeight="1">
      <c r="A88" s="2"/>
      <c r="B88" s="3"/>
      <c r="C88" s="3"/>
      <c r="D88" s="3"/>
      <c r="E88" s="3"/>
      <c r="F88" s="3"/>
      <c r="G88" s="3"/>
      <c r="H88" s="3"/>
      <c r="I88" s="133"/>
      <c r="J88" s="133"/>
      <c r="K88" s="133"/>
      <c r="L88" s="133"/>
      <c r="M88" s="133"/>
      <c r="N88" s="133"/>
      <c r="O88" s="133"/>
      <c r="P88" s="133"/>
    </row>
    <row r="89" spans="1:24" ht="15.75" customHeight="1">
      <c r="A89" s="2"/>
      <c r="B89" s="3"/>
      <c r="C89" s="3"/>
      <c r="D89" s="3"/>
      <c r="E89" s="3"/>
      <c r="F89" s="3"/>
      <c r="G89" s="3"/>
      <c r="H89" s="3"/>
      <c r="I89" s="133"/>
      <c r="J89" s="133"/>
      <c r="K89" s="133"/>
      <c r="L89" s="133"/>
      <c r="M89" s="133"/>
      <c r="N89" s="133"/>
      <c r="O89" s="133"/>
      <c r="P89" s="133"/>
    </row>
    <row r="90" spans="1:24" ht="15.75" customHeight="1">
      <c r="A90" s="2"/>
      <c r="B90" s="3"/>
      <c r="C90" s="3"/>
      <c r="D90" s="3"/>
      <c r="E90" s="3"/>
      <c r="F90" s="3"/>
      <c r="G90" s="3"/>
      <c r="H90" s="3"/>
      <c r="I90" s="133"/>
      <c r="J90" s="133"/>
      <c r="K90" s="133"/>
      <c r="L90" s="133"/>
      <c r="M90" s="133"/>
      <c r="N90" s="133"/>
      <c r="O90" s="133"/>
      <c r="P90" s="133"/>
    </row>
    <row r="91" spans="1:24" ht="15.75" customHeight="1">
      <c r="A91" s="2"/>
      <c r="B91" s="3"/>
      <c r="C91" s="3"/>
      <c r="D91" s="3"/>
      <c r="E91" s="3"/>
      <c r="F91" s="3"/>
      <c r="G91" s="3"/>
      <c r="H91" s="3"/>
      <c r="I91" s="133"/>
      <c r="J91" s="133"/>
      <c r="K91" s="133"/>
      <c r="L91" s="133"/>
      <c r="M91" s="133"/>
      <c r="N91" s="133"/>
      <c r="O91" s="133"/>
      <c r="P91" s="133"/>
    </row>
    <row r="92" spans="1:24" ht="15.75" customHeight="1"/>
    <row r="93" spans="1:24" ht="15.75" customHeight="1"/>
    <row r="94" spans="1:24" ht="15.75" customHeight="1"/>
    <row r="95" spans="1:24" ht="15.75" customHeight="1"/>
    <row r="96" spans="1:24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2">
    <mergeCell ref="A6:E6"/>
    <mergeCell ref="A7:E7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7:Z1000"/>
  <sheetViews>
    <sheetView workbookViewId="0">
      <selection activeCell="F13" sqref="F13"/>
    </sheetView>
  </sheetViews>
  <sheetFormatPr baseColWidth="10" defaultColWidth="14.42578125" defaultRowHeight="15" customHeight="1"/>
  <cols>
    <col min="1" max="1" width="52.85546875" customWidth="1"/>
    <col min="2" max="4" width="10.7109375" customWidth="1"/>
    <col min="5" max="5" width="13.7109375" customWidth="1"/>
    <col min="6" max="8" width="10.7109375" customWidth="1"/>
    <col min="9" max="9" width="16.140625" customWidth="1"/>
    <col min="10" max="26" width="10.7109375" customWidth="1"/>
  </cols>
  <sheetData>
    <row r="7" spans="1:9" ht="15.75">
      <c r="A7" s="2" t="s">
        <v>306</v>
      </c>
      <c r="B7" s="3"/>
    </row>
    <row r="8" spans="1:9" ht="15.75">
      <c r="A8" s="167" t="s">
        <v>1</v>
      </c>
      <c r="B8" s="168"/>
      <c r="C8" s="2"/>
      <c r="D8" s="2"/>
      <c r="E8" s="2"/>
    </row>
    <row r="9" spans="1:9" ht="15.75">
      <c r="A9" s="167" t="s">
        <v>2</v>
      </c>
      <c r="B9" s="168"/>
      <c r="C9" s="2"/>
      <c r="D9" s="2"/>
      <c r="E9" s="2"/>
    </row>
    <row r="11" spans="1:9" ht="15.75">
      <c r="A11" s="2" t="s">
        <v>3</v>
      </c>
      <c r="B11" s="4"/>
      <c r="C11" s="3"/>
      <c r="D11" s="3"/>
      <c r="E11" s="3"/>
      <c r="F11" s="3"/>
      <c r="G11" s="3"/>
      <c r="H11" s="3"/>
      <c r="I11" s="3"/>
    </row>
    <row r="12" spans="1:9" ht="15.75">
      <c r="A12" s="2" t="s">
        <v>307</v>
      </c>
      <c r="B12" s="3"/>
      <c r="C12" s="3"/>
      <c r="D12" s="3"/>
      <c r="E12" s="3"/>
      <c r="F12" s="3"/>
      <c r="G12" s="3"/>
      <c r="H12" s="3"/>
      <c r="I12" s="3"/>
    </row>
    <row r="13" spans="1:9" ht="15.75">
      <c r="A13" s="111"/>
      <c r="B13" s="152" t="s">
        <v>308</v>
      </c>
      <c r="C13" s="152" t="s">
        <v>309</v>
      </c>
      <c r="D13" s="152" t="s">
        <v>310</v>
      </c>
      <c r="E13" s="152" t="s">
        <v>311</v>
      </c>
      <c r="F13" s="152" t="s">
        <v>312</v>
      </c>
      <c r="G13" s="152" t="s">
        <v>313</v>
      </c>
      <c r="H13" s="152" t="s">
        <v>314</v>
      </c>
      <c r="I13" s="152" t="s">
        <v>315</v>
      </c>
    </row>
    <row r="14" spans="1:9" ht="15.75">
      <c r="A14" s="122" t="s">
        <v>277</v>
      </c>
      <c r="B14" s="123">
        <v>138</v>
      </c>
      <c r="C14" s="123">
        <v>147</v>
      </c>
      <c r="D14" s="123">
        <v>8</v>
      </c>
      <c r="E14" s="123">
        <v>5</v>
      </c>
      <c r="F14" s="123">
        <v>134</v>
      </c>
      <c r="G14" s="123">
        <v>60</v>
      </c>
      <c r="H14" s="123">
        <v>250</v>
      </c>
      <c r="I14" s="123">
        <v>3</v>
      </c>
    </row>
    <row r="15" spans="1:9" ht="15.75">
      <c r="A15" s="122" t="s">
        <v>278</v>
      </c>
      <c r="B15" s="123">
        <v>0</v>
      </c>
      <c r="C15" s="123">
        <v>55</v>
      </c>
      <c r="D15" s="123">
        <v>0</v>
      </c>
      <c r="E15" s="123">
        <v>0</v>
      </c>
      <c r="F15" s="123">
        <v>134</v>
      </c>
      <c r="G15" s="123">
        <v>21</v>
      </c>
      <c r="H15" s="123">
        <v>0</v>
      </c>
      <c r="I15" s="123">
        <v>0</v>
      </c>
    </row>
    <row r="16" spans="1:9" ht="15.75">
      <c r="A16" s="61" t="s">
        <v>20</v>
      </c>
      <c r="B16" s="135">
        <f>ROUNDUP('CHILLAR 2'!B14,0)</f>
        <v>18</v>
      </c>
      <c r="C16" s="135">
        <f>ROUNDUP('CHILLAR 2'!C14,0)</f>
        <v>25</v>
      </c>
      <c r="D16" s="135">
        <f>ROUNDUP('CHILLAR 2'!D14,0)</f>
        <v>1</v>
      </c>
      <c r="E16" s="135">
        <f>ROUNDUP('CHILLAR 2'!E14,0)</f>
        <v>1</v>
      </c>
      <c r="F16" s="135">
        <f>ROUNDUP('CHILLAR 2'!F14,0)</f>
        <v>33</v>
      </c>
      <c r="G16" s="135">
        <f>ROUNDUP('CHILLAR 2'!G14,0)</f>
        <v>11</v>
      </c>
      <c r="H16" s="135">
        <f>ROUNDUP('CHILLAR 2'!H14,0)</f>
        <v>32</v>
      </c>
      <c r="I16" s="135">
        <f>ROUNDUP('CHILLAR 2'!I14,0)</f>
        <v>1</v>
      </c>
    </row>
    <row r="17" spans="1:26" ht="15.75">
      <c r="A17" s="61" t="s">
        <v>21</v>
      </c>
      <c r="B17" s="135">
        <f>ROUNDUP('CHILLAR 2'!B15,0)</f>
        <v>0</v>
      </c>
      <c r="C17" s="135">
        <f>ROUNDUP('CHILLAR 2'!C15,0)</f>
        <v>7</v>
      </c>
      <c r="D17" s="135">
        <f>ROUNDUP('CHILLAR 2'!D15,0)</f>
        <v>0</v>
      </c>
      <c r="E17" s="135">
        <f>ROUNDUP('CHILLAR 2'!E15,0)</f>
        <v>0</v>
      </c>
      <c r="F17" s="135">
        <f>ROUNDUP('CHILLAR 2'!F15,0)</f>
        <v>17</v>
      </c>
      <c r="G17" s="135">
        <f>ROUNDUP('CHILLAR 2'!G15,0)</f>
        <v>3</v>
      </c>
      <c r="H17" s="135">
        <f>ROUNDUP('CHILLAR 2'!H15,0)</f>
        <v>0</v>
      </c>
      <c r="I17" s="135">
        <f>ROUNDUP('CHILLAR 2'!I15,0)</f>
        <v>0</v>
      </c>
    </row>
    <row r="18" spans="1:26" ht="15.75">
      <c r="A18" s="61" t="s">
        <v>22</v>
      </c>
      <c r="B18" s="135">
        <f>ROUNDUP('CHILLAR 2'!B16,0)</f>
        <v>35</v>
      </c>
      <c r="C18" s="135">
        <f>ROUNDUP('CHILLAR 2'!C16,0)</f>
        <v>50</v>
      </c>
      <c r="D18" s="135">
        <f>ROUNDUP('CHILLAR 2'!D16,0)</f>
        <v>2</v>
      </c>
      <c r="E18" s="135">
        <f>ROUNDUP('CHILLAR 2'!E16,0)</f>
        <v>2</v>
      </c>
      <c r="F18" s="135">
        <f>ROUNDUP('CHILLAR 2'!F16,0)</f>
        <v>66</v>
      </c>
      <c r="G18" s="135">
        <f>ROUNDUP('CHILLAR 2'!G16,0)</f>
        <v>21</v>
      </c>
      <c r="H18" s="135">
        <f>ROUNDUP('CHILLAR 2'!H16,0)</f>
        <v>63</v>
      </c>
      <c r="I18" s="135">
        <f>ROUNDUP('CHILLAR 2'!I16,0)</f>
        <v>1</v>
      </c>
    </row>
    <row r="19" spans="1:26" ht="15.75">
      <c r="A19" s="61" t="s">
        <v>23</v>
      </c>
      <c r="B19" s="135">
        <f>ROUNDUP('CHILLAR 2'!B17,0)</f>
        <v>0</v>
      </c>
      <c r="C19" s="135">
        <f>ROUNDUP('CHILLAR 2'!C17,0)</f>
        <v>0</v>
      </c>
      <c r="D19" s="135">
        <f>ROUNDUP('CHILLAR 2'!D17,0)</f>
        <v>0</v>
      </c>
      <c r="E19" s="135">
        <f>ROUNDUP('CHILLAR 2'!E17,0)</f>
        <v>0</v>
      </c>
      <c r="F19" s="135">
        <f>ROUNDUP('CHILLAR 2'!F17,0)</f>
        <v>0</v>
      </c>
      <c r="G19" s="135">
        <f>ROUNDUP('CHILLAR 2'!G17,0)</f>
        <v>0</v>
      </c>
      <c r="H19" s="135">
        <f>ROUNDUP('CHILLAR 2'!H17,0)</f>
        <v>0</v>
      </c>
      <c r="I19" s="135">
        <f>ROUNDUP('CHILLAR 2'!I17,0)</f>
        <v>0</v>
      </c>
    </row>
    <row r="20" spans="1:26" ht="15.75">
      <c r="A20" s="61" t="s">
        <v>24</v>
      </c>
      <c r="B20" s="135">
        <f>ROUNDUP('CHILLAR 2'!B18,0)</f>
        <v>0</v>
      </c>
      <c r="C20" s="135">
        <f>ROUNDUP('CHILLAR 2'!C18,0)</f>
        <v>8</v>
      </c>
      <c r="D20" s="135">
        <f>ROUNDUP('CHILLAR 2'!D18,0)</f>
        <v>0</v>
      </c>
      <c r="E20" s="135">
        <f>ROUNDUP('CHILLAR 2'!E18,0)</f>
        <v>0</v>
      </c>
      <c r="F20" s="135">
        <f>ROUNDUP('CHILLAR 2'!F18,0)</f>
        <v>19</v>
      </c>
      <c r="G20" s="135">
        <f>ROUNDUP('CHILLAR 2'!G18,0)</f>
        <v>3</v>
      </c>
      <c r="H20" s="135">
        <f>ROUNDUP('CHILLAR 2'!H18,0)</f>
        <v>0</v>
      </c>
      <c r="I20" s="135">
        <f>ROUNDUP('CHILLAR 2'!I18,0)</f>
        <v>0</v>
      </c>
    </row>
    <row r="21" spans="1:26" ht="15.75" customHeight="1">
      <c r="A21" s="61" t="s">
        <v>25</v>
      </c>
      <c r="B21" s="135">
        <f>ROUNDUP('CHILLAR 2'!B19,0)</f>
        <v>0</v>
      </c>
      <c r="C21" s="135">
        <f>ROUNDUP('CHILLAR 2'!C19,0)</f>
        <v>3</v>
      </c>
      <c r="D21" s="135">
        <f>ROUNDUP('CHILLAR 2'!D19,0)</f>
        <v>0</v>
      </c>
      <c r="E21" s="135">
        <f>ROUNDUP('CHILLAR 2'!E19,0)</f>
        <v>0</v>
      </c>
      <c r="F21" s="135">
        <f>ROUNDUP('CHILLAR 2'!F19,0)</f>
        <v>7</v>
      </c>
      <c r="G21" s="135">
        <f>ROUNDUP('CHILLAR 2'!G19,0)</f>
        <v>2</v>
      </c>
      <c r="H21" s="135">
        <f>ROUNDUP('CHILLAR 2'!H19,0)</f>
        <v>0</v>
      </c>
      <c r="I21" s="135">
        <f>ROUNDUP('CHILLAR 2'!I19,0)</f>
        <v>0</v>
      </c>
    </row>
    <row r="22" spans="1:26" ht="15.75" customHeight="1">
      <c r="A22" s="61" t="s">
        <v>26</v>
      </c>
      <c r="B22" s="135">
        <f>ROUNDUP('CHILLAR 2'!B20,0)</f>
        <v>0</v>
      </c>
      <c r="C22" s="135">
        <f>ROUNDUP('CHILLAR 2'!C20,0)</f>
        <v>11</v>
      </c>
      <c r="D22" s="135">
        <f>ROUNDUP('CHILLAR 2'!D20,0)</f>
        <v>0</v>
      </c>
      <c r="E22" s="135">
        <f>ROUNDUP('CHILLAR 2'!E20,0)</f>
        <v>0</v>
      </c>
      <c r="F22" s="135">
        <f>ROUNDUP('CHILLAR 2'!F20,0)</f>
        <v>27</v>
      </c>
      <c r="G22" s="135">
        <f>ROUNDUP('CHILLAR 2'!G20,0)</f>
        <v>5</v>
      </c>
      <c r="H22" s="135">
        <f>ROUNDUP('CHILLAR 2'!H20,0)</f>
        <v>0</v>
      </c>
      <c r="I22" s="135">
        <f>ROUNDUP('CHILLAR 2'!I20,0)</f>
        <v>0</v>
      </c>
    </row>
    <row r="23" spans="1:26" ht="15.75" customHeight="1">
      <c r="A23" s="61" t="s">
        <v>27</v>
      </c>
      <c r="B23" s="135">
        <f>ROUNDUP('CHILLAR 2'!B21,0)</f>
        <v>0</v>
      </c>
      <c r="C23" s="135">
        <f>ROUNDUP('CHILLAR 2'!C21,0)</f>
        <v>5</v>
      </c>
      <c r="D23" s="135">
        <f>ROUNDUP('CHILLAR 2'!D21,0)</f>
        <v>0</v>
      </c>
      <c r="E23" s="135">
        <f>ROUNDUP('CHILLAR 2'!E21,0)</f>
        <v>0</v>
      </c>
      <c r="F23" s="135">
        <f>ROUNDUP('CHILLAR 2'!F21,0)</f>
        <v>11</v>
      </c>
      <c r="G23" s="135">
        <f>ROUNDUP('CHILLAR 2'!G21,0)</f>
        <v>2</v>
      </c>
      <c r="H23" s="135">
        <f>ROUNDUP('CHILLAR 2'!H21,0)</f>
        <v>0</v>
      </c>
      <c r="I23" s="135">
        <f>ROUNDUP('CHILLAR 2'!I21,0)</f>
        <v>0</v>
      </c>
    </row>
    <row r="24" spans="1:26" ht="15.75" customHeight="1">
      <c r="A24" s="61" t="s">
        <v>28</v>
      </c>
      <c r="B24" s="135">
        <f>ROUNDUP('CHILLAR 2'!B22,0)</f>
        <v>0</v>
      </c>
      <c r="C24" s="135">
        <f>ROUNDUP('CHILLAR 2'!C22,0)</f>
        <v>3</v>
      </c>
      <c r="D24" s="135">
        <f>ROUNDUP('CHILLAR 2'!D22,0)</f>
        <v>0</v>
      </c>
      <c r="E24" s="135">
        <f>ROUNDUP('CHILLAR 2'!E22,0)</f>
        <v>0</v>
      </c>
      <c r="F24" s="135">
        <f>ROUNDUP('CHILLAR 2'!F22,0)</f>
        <v>7</v>
      </c>
      <c r="G24" s="135">
        <f>ROUNDUP('CHILLAR 2'!G22,0)</f>
        <v>2</v>
      </c>
      <c r="H24" s="135">
        <f>ROUNDUP('CHILLAR 2'!H22,0)</f>
        <v>0</v>
      </c>
      <c r="I24" s="135">
        <f>ROUNDUP('CHILLAR 2'!I22,0)</f>
        <v>0</v>
      </c>
    </row>
    <row r="25" spans="1:26" ht="15.75" customHeight="1">
      <c r="A25" s="61" t="s">
        <v>29</v>
      </c>
      <c r="B25" s="135">
        <f>ROUNDUP('CHILLAR 2'!B23,0)</f>
        <v>0</v>
      </c>
      <c r="C25" s="135">
        <f>ROUNDUP('CHILLAR 2'!C23,0)</f>
        <v>2</v>
      </c>
      <c r="D25" s="135">
        <f>ROUNDUP('CHILLAR 2'!D23,0)</f>
        <v>0</v>
      </c>
      <c r="E25" s="135">
        <f>ROUNDUP('CHILLAR 2'!E23,0)</f>
        <v>0</v>
      </c>
      <c r="F25" s="135">
        <f>ROUNDUP('CHILLAR 2'!F23,0)</f>
        <v>5</v>
      </c>
      <c r="G25" s="135">
        <f>ROUNDUP('CHILLAR 2'!G23,0)</f>
        <v>1</v>
      </c>
      <c r="H25" s="135">
        <f>ROUNDUP('CHILLAR 2'!H23,0)</f>
        <v>0</v>
      </c>
      <c r="I25" s="135">
        <f>ROUNDUP('CHILLAR 2'!I23,0)</f>
        <v>0</v>
      </c>
    </row>
    <row r="26" spans="1:26" ht="15.75" customHeight="1">
      <c r="A26" s="61" t="s">
        <v>30</v>
      </c>
      <c r="B26" s="135">
        <f>ROUNDUP('CHILLAR 2'!B24,0)</f>
        <v>0</v>
      </c>
      <c r="C26" s="135">
        <f>ROUNDUP('CHILLAR 2'!C24,0)</f>
        <v>1</v>
      </c>
      <c r="D26" s="135">
        <f>ROUNDUP('CHILLAR 2'!D24,0)</f>
        <v>0</v>
      </c>
      <c r="E26" s="135">
        <f>ROUNDUP('CHILLAR 2'!E24,0)</f>
        <v>0</v>
      </c>
      <c r="F26" s="135">
        <f>ROUNDUP('CHILLAR 2'!F24,0)</f>
        <v>1</v>
      </c>
      <c r="G26" s="135">
        <f>ROUNDUP('CHILLAR 2'!G24,0)</f>
        <v>1</v>
      </c>
      <c r="H26" s="135">
        <f>ROUNDUP('CHILLAR 2'!H24,0)</f>
        <v>0</v>
      </c>
      <c r="I26" s="135">
        <f>ROUNDUP('CHILLAR 2'!I24,0)</f>
        <v>0</v>
      </c>
    </row>
    <row r="27" spans="1:26" ht="15.75" customHeight="1">
      <c r="A27" s="61" t="s">
        <v>31</v>
      </c>
      <c r="B27" s="135">
        <f>ROUNDUP('CHILLAR 2'!B25,0)</f>
        <v>0</v>
      </c>
      <c r="C27" s="135">
        <f>ROUNDUP('CHILLAR 2'!C25,0)</f>
        <v>1</v>
      </c>
      <c r="D27" s="135">
        <f>ROUNDUP('CHILLAR 2'!D25,0)</f>
        <v>0</v>
      </c>
      <c r="E27" s="135">
        <f>ROUNDUP('CHILLAR 2'!E25,0)</f>
        <v>0</v>
      </c>
      <c r="F27" s="135">
        <f>ROUNDUP('CHILLAR 2'!F25,0)</f>
        <v>1</v>
      </c>
      <c r="G27" s="135">
        <v>0</v>
      </c>
      <c r="H27" s="135">
        <f>ROUNDUP('CHILLAR 2'!H25,0)</f>
        <v>0</v>
      </c>
      <c r="I27" s="135">
        <f>ROUNDUP('CHILLAR 2'!I25,0)</f>
        <v>0</v>
      </c>
    </row>
    <row r="28" spans="1:26" ht="15.75" customHeight="1">
      <c r="A28" s="61" t="s">
        <v>32</v>
      </c>
      <c r="B28" s="135">
        <f>ROUNDUP('CHILLAR 2'!B26,0)</f>
        <v>0</v>
      </c>
      <c r="C28" s="135">
        <f>ROUNDUP('CHILLAR 2'!C26,0)</f>
        <v>7</v>
      </c>
      <c r="D28" s="135">
        <f>ROUNDUP('CHILLAR 2'!D26,0)</f>
        <v>0</v>
      </c>
      <c r="E28" s="135">
        <f>ROUNDUP('CHILLAR 2'!E26,0)</f>
        <v>0</v>
      </c>
      <c r="F28" s="135">
        <f>ROUNDUP('CHILLAR 2'!F26,0)</f>
        <v>17</v>
      </c>
      <c r="G28" s="135">
        <f>ROUNDUP('CHILLAR 2'!G26,0)</f>
        <v>3</v>
      </c>
      <c r="H28" s="135">
        <f>ROUNDUP('CHILLAR 2'!H26,0)</f>
        <v>0</v>
      </c>
      <c r="I28" s="135">
        <f>ROUNDUP('CHILLAR 2'!I26,0)</f>
        <v>0</v>
      </c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9" ht="15.75" customHeight="1">
      <c r="A33" s="3"/>
      <c r="B33" s="3"/>
      <c r="C33" s="3"/>
      <c r="D33" s="3"/>
      <c r="E33" s="3"/>
      <c r="F33" s="3"/>
      <c r="G33" s="3"/>
      <c r="H33" s="3"/>
      <c r="I33" s="3"/>
    </row>
    <row r="34" spans="1:9" ht="15.75" customHeight="1">
      <c r="A34" s="2" t="s">
        <v>90</v>
      </c>
      <c r="B34" s="4"/>
      <c r="C34" s="3"/>
      <c r="D34" s="3"/>
      <c r="E34" s="3"/>
      <c r="F34" s="3"/>
      <c r="G34" s="3"/>
      <c r="H34" s="3"/>
      <c r="I34" s="3"/>
    </row>
    <row r="35" spans="1:9" ht="15.75" customHeight="1">
      <c r="A35" s="2" t="s">
        <v>320</v>
      </c>
      <c r="B35" s="3"/>
      <c r="C35" s="3"/>
      <c r="D35" s="3"/>
      <c r="E35" s="3"/>
      <c r="F35" s="3"/>
      <c r="G35" s="3"/>
      <c r="H35" s="3"/>
      <c r="I35" s="3"/>
    </row>
    <row r="36" spans="1:9" ht="15.75" customHeight="1">
      <c r="A36" s="111"/>
      <c r="B36" s="152" t="s">
        <v>308</v>
      </c>
      <c r="C36" s="138" t="s">
        <v>309</v>
      </c>
      <c r="D36" s="138" t="s">
        <v>310</v>
      </c>
      <c r="E36" s="138" t="s">
        <v>311</v>
      </c>
      <c r="F36" s="152" t="s">
        <v>312</v>
      </c>
      <c r="G36" s="138" t="s">
        <v>313</v>
      </c>
      <c r="H36" s="138" t="s">
        <v>314</v>
      </c>
      <c r="I36" s="138" t="s">
        <v>315</v>
      </c>
    </row>
    <row r="37" spans="1:9" ht="15.75" customHeight="1">
      <c r="A37" s="122" t="s">
        <v>277</v>
      </c>
      <c r="B37" s="123">
        <v>138</v>
      </c>
      <c r="C37" s="123">
        <v>147</v>
      </c>
      <c r="D37" s="123">
        <v>8</v>
      </c>
      <c r="E37" s="123">
        <v>5</v>
      </c>
      <c r="F37" s="123">
        <v>134</v>
      </c>
      <c r="G37" s="123">
        <v>60</v>
      </c>
      <c r="H37" s="123">
        <v>250</v>
      </c>
      <c r="I37" s="123">
        <v>3</v>
      </c>
    </row>
    <row r="38" spans="1:9" ht="15.75" customHeight="1">
      <c r="A38" s="122" t="s">
        <v>278</v>
      </c>
      <c r="B38" s="123">
        <v>0</v>
      </c>
      <c r="C38" s="123">
        <v>55</v>
      </c>
      <c r="D38" s="123">
        <v>0</v>
      </c>
      <c r="E38" s="123">
        <v>0</v>
      </c>
      <c r="F38" s="123">
        <v>134</v>
      </c>
      <c r="G38" s="123">
        <v>21</v>
      </c>
      <c r="H38" s="123">
        <v>0</v>
      </c>
      <c r="I38" s="123">
        <v>0</v>
      </c>
    </row>
    <row r="39" spans="1:9" ht="15.75" customHeight="1">
      <c r="A39" s="61" t="s">
        <v>284</v>
      </c>
      <c r="B39" s="136">
        <v>0</v>
      </c>
      <c r="C39" s="136">
        <v>84</v>
      </c>
      <c r="D39" s="136">
        <f>ROUNDUP('CHILLAR 2'!D34,0)</f>
        <v>5</v>
      </c>
      <c r="E39" s="136">
        <f>ROUNDUP('CHILLAR 2'!E34,0)</f>
        <v>3</v>
      </c>
      <c r="F39" s="136">
        <f>ROUNDUP('CHILLAR 2'!F34,0)</f>
        <v>98</v>
      </c>
      <c r="G39" s="136">
        <v>0</v>
      </c>
      <c r="H39" s="136">
        <v>0</v>
      </c>
      <c r="I39" s="136">
        <f>ROUNDUP('CHILLAR 2'!I34,0)</f>
        <v>2</v>
      </c>
    </row>
    <row r="40" spans="1:9" ht="15.75" customHeight="1">
      <c r="A40" s="61" t="s">
        <v>285</v>
      </c>
      <c r="B40" s="136">
        <f>ROUNDUP('CHILLAR 2'!B35,0)</f>
        <v>3</v>
      </c>
      <c r="C40" s="136">
        <f>ROUNDUP('CHILLAR 2'!C35,0)</f>
        <v>3</v>
      </c>
      <c r="D40" s="136">
        <f>ROUNDUP('CHILLAR 2'!D35,0)</f>
        <v>1</v>
      </c>
      <c r="E40" s="136">
        <v>0</v>
      </c>
      <c r="F40" s="136">
        <f>ROUNDUP('CHILLAR 2'!F35,0)</f>
        <v>3</v>
      </c>
      <c r="G40" s="136">
        <f>ROUNDUP('CHILLAR 2'!G35,0)</f>
        <v>2</v>
      </c>
      <c r="H40" s="136">
        <v>0</v>
      </c>
      <c r="I40" s="136">
        <f>ROUNDUP('CHILLAR 2'!I35,0)</f>
        <v>1</v>
      </c>
    </row>
    <row r="41" spans="1:9" ht="15.75" customHeight="1">
      <c r="A41" s="61" t="s">
        <v>286</v>
      </c>
      <c r="B41" s="136">
        <v>0</v>
      </c>
      <c r="C41" s="136">
        <f>ROUNDUP('CHILLAR 2'!C36,0)</f>
        <v>9</v>
      </c>
      <c r="D41" s="136">
        <f>ROUNDUP('CHILLAR 2'!D36,0)</f>
        <v>1</v>
      </c>
      <c r="E41" s="136">
        <v>0</v>
      </c>
      <c r="F41" s="136">
        <f>ROUNDUP('CHILLAR 2'!F36,0)</f>
        <v>9</v>
      </c>
      <c r="G41" s="136">
        <v>0</v>
      </c>
      <c r="H41" s="136">
        <v>0</v>
      </c>
      <c r="I41" s="136">
        <v>0</v>
      </c>
    </row>
    <row r="42" spans="1:9" ht="15.75" customHeight="1">
      <c r="A42" s="61" t="s">
        <v>95</v>
      </c>
      <c r="B42" s="136">
        <v>0</v>
      </c>
      <c r="C42" s="136">
        <f>ROUNDUP('CHILLAR 2'!C37,0)</f>
        <v>9</v>
      </c>
      <c r="D42" s="136">
        <f>ROUNDUP('CHILLAR 2'!D37,0)</f>
        <v>1</v>
      </c>
      <c r="E42" s="136">
        <f>ROUNDUP('CHILLAR 2'!E37,0)</f>
        <v>1</v>
      </c>
      <c r="F42" s="136">
        <f>ROUNDUP('CHILLAR 2'!F37,0)</f>
        <v>8</v>
      </c>
      <c r="G42" s="136">
        <f>ROUNDUP('CHILLAR 2'!G37,0)</f>
        <v>4</v>
      </c>
      <c r="H42" s="136">
        <v>0</v>
      </c>
      <c r="I42" s="136">
        <v>0</v>
      </c>
    </row>
    <row r="43" spans="1:9" ht="15.75" customHeight="1">
      <c r="A43" s="61" t="s">
        <v>287</v>
      </c>
      <c r="B43" s="136">
        <v>0</v>
      </c>
      <c r="C43" s="136">
        <f>ROUNDUP('CHILLAR 2'!C38,0)</f>
        <v>12</v>
      </c>
      <c r="D43" s="136">
        <f>ROUNDUP('CHILLAR 2'!D38,0)</f>
        <v>1</v>
      </c>
      <c r="E43" s="136">
        <f>ROUNDUP('CHILLAR 2'!E38,0)</f>
        <v>1</v>
      </c>
      <c r="F43" s="136">
        <f>ROUNDUP('CHILLAR 2'!F38,0)</f>
        <v>11</v>
      </c>
      <c r="G43" s="136">
        <f>ROUNDUP('CHILLAR 2'!G38,0)</f>
        <v>5</v>
      </c>
      <c r="H43" s="136">
        <v>0</v>
      </c>
      <c r="I43" s="136">
        <v>0</v>
      </c>
    </row>
    <row r="44" spans="1:9" ht="15.75" customHeight="1">
      <c r="A44" s="61" t="s">
        <v>288</v>
      </c>
      <c r="B44" s="136">
        <v>0</v>
      </c>
      <c r="C44" s="136">
        <v>2</v>
      </c>
      <c r="D44" s="136">
        <f>ROUNDUP('CHILLAR 2'!D39,0)</f>
        <v>1</v>
      </c>
      <c r="E44" s="136">
        <v>0</v>
      </c>
      <c r="F44" s="136">
        <f>ROUNDUP('CHILLAR 2'!F39,0)</f>
        <v>3</v>
      </c>
      <c r="G44" s="136">
        <v>0</v>
      </c>
      <c r="H44" s="136">
        <v>0</v>
      </c>
      <c r="I44" s="136">
        <v>0</v>
      </c>
    </row>
    <row r="45" spans="1:9" ht="15.75" customHeight="1">
      <c r="A45" s="61" t="s">
        <v>289</v>
      </c>
      <c r="B45" s="136">
        <f>ROUNDUP('CHILLAR 2'!B40,0)</f>
        <v>0</v>
      </c>
      <c r="C45" s="136">
        <f>ROUNDUP('CHILLAR 2'!C40,0)</f>
        <v>3</v>
      </c>
      <c r="D45" s="136">
        <f>ROUNDUP('CHILLAR 2'!D40,0)</f>
        <v>0</v>
      </c>
      <c r="E45" s="136">
        <f>ROUNDUP('CHILLAR 2'!E40,0)</f>
        <v>0</v>
      </c>
      <c r="F45" s="136">
        <f>ROUNDUP('CHILLAR 2'!F40,0)</f>
        <v>7</v>
      </c>
      <c r="G45" s="136">
        <f>ROUNDUP('CHILLAR 2'!G40,0)</f>
        <v>2</v>
      </c>
      <c r="H45" s="136">
        <f>ROUNDUP('CHILLAR 2'!H40,0)</f>
        <v>0</v>
      </c>
      <c r="I45" s="136">
        <v>0</v>
      </c>
    </row>
    <row r="46" spans="1:9" ht="15.75" customHeight="1">
      <c r="A46" s="61" t="s">
        <v>290</v>
      </c>
      <c r="B46" s="136">
        <f>ROUNDUP('CHILLAR 2'!B41,0)</f>
        <v>0</v>
      </c>
      <c r="C46" s="136">
        <f>ROUNDUP('CHILLAR 2'!C41,0)</f>
        <v>2</v>
      </c>
      <c r="D46" s="136">
        <f>ROUNDUP('CHILLAR 2'!D41,0)</f>
        <v>0</v>
      </c>
      <c r="E46" s="136">
        <f>ROUNDUP('CHILLAR 2'!E41,0)</f>
        <v>0</v>
      </c>
      <c r="F46" s="136">
        <f>ROUNDUP('CHILLAR 2'!F41,0)</f>
        <v>5</v>
      </c>
      <c r="G46" s="136">
        <f>ROUNDUP('CHILLAR 2'!G41,0)</f>
        <v>1</v>
      </c>
      <c r="H46" s="136">
        <f>ROUNDUP('CHILLAR 2'!H41,0)</f>
        <v>0</v>
      </c>
      <c r="I46" s="136">
        <v>0</v>
      </c>
    </row>
    <row r="47" spans="1:9" ht="15.75" customHeight="1">
      <c r="A47" s="61" t="s">
        <v>291</v>
      </c>
      <c r="B47" s="136">
        <f>ROUNDUP('CHILLAR 2'!B42,0)</f>
        <v>0</v>
      </c>
      <c r="C47" s="136">
        <v>3</v>
      </c>
      <c r="D47" s="136">
        <f>ROUNDUP('CHILLAR 2'!D42,0)</f>
        <v>0</v>
      </c>
      <c r="E47" s="136">
        <f>ROUNDUP('CHILLAR 2'!E42,0)</f>
        <v>0</v>
      </c>
      <c r="F47" s="136">
        <f>ROUNDUP('CHILLAR 2'!F42,0)</f>
        <v>11</v>
      </c>
      <c r="G47" s="136">
        <f>ROUNDUP('CHILLAR 2'!G42,0)</f>
        <v>2</v>
      </c>
      <c r="H47" s="136">
        <f>ROUNDUP('CHILLAR 2'!H42,0)</f>
        <v>0</v>
      </c>
      <c r="I47" s="136">
        <f>ROUNDUP('CHILLAR 2'!I42,0)</f>
        <v>0</v>
      </c>
    </row>
    <row r="48" spans="1:9" ht="15.75" customHeight="1">
      <c r="A48" s="61" t="s">
        <v>292</v>
      </c>
      <c r="B48" s="136">
        <f>ROUNDUP('CHILLAR 2'!B43,0)</f>
        <v>0</v>
      </c>
      <c r="C48" s="136">
        <f>ROUNDUP('CHILLAR 2'!C43,0)</f>
        <v>0</v>
      </c>
      <c r="D48" s="136">
        <f>ROUNDUP('CHILLAR 2'!D43,0)</f>
        <v>0</v>
      </c>
      <c r="E48" s="136">
        <f>ROUNDUP('CHILLAR 2'!E43,0)</f>
        <v>0</v>
      </c>
      <c r="F48" s="136">
        <f>ROUNDUP('CHILLAR 2'!F43,0)</f>
        <v>0</v>
      </c>
      <c r="G48" s="136">
        <f>ROUNDUP('CHILLAR 2'!G43,0)</f>
        <v>0</v>
      </c>
      <c r="H48" s="136">
        <f>ROUNDUP('CHILLAR 2'!H43,0)</f>
        <v>0</v>
      </c>
      <c r="I48" s="136">
        <f>ROUNDUP('CHILLAR 2'!I43,0)</f>
        <v>0</v>
      </c>
    </row>
    <row r="49" spans="1:26" ht="15.75" customHeight="1">
      <c r="A49" s="61" t="s">
        <v>293</v>
      </c>
      <c r="B49" s="136">
        <f>ROUNDUP('CHILLAR 2'!B44,0)</f>
        <v>0</v>
      </c>
      <c r="C49" s="136">
        <f>ROUNDUP('CHILLAR 2'!C44,0)</f>
        <v>7</v>
      </c>
      <c r="D49" s="136">
        <f>ROUNDUP('CHILLAR 2'!D44,0)</f>
        <v>0</v>
      </c>
      <c r="E49" s="136">
        <f>ROUNDUP('CHILLAR 2'!E44,0)</f>
        <v>0</v>
      </c>
      <c r="F49" s="136">
        <f>ROUNDUP('CHILLAR 2'!F44,0)</f>
        <v>16</v>
      </c>
      <c r="G49" s="136">
        <f>ROUNDUP('CHILLAR 2'!G44,0)</f>
        <v>3</v>
      </c>
      <c r="H49" s="136">
        <f>ROUNDUP('CHILLAR 2'!H44,0)</f>
        <v>0</v>
      </c>
      <c r="I49" s="136">
        <f>ROUNDUP('CHILLAR 2'!I44,0)</f>
        <v>0</v>
      </c>
    </row>
    <row r="50" spans="1:26" ht="15.75" customHeight="1">
      <c r="A50" s="61" t="s">
        <v>294</v>
      </c>
      <c r="B50" s="136">
        <f>ROUNDUP('CHILLAR 2'!B45,0)</f>
        <v>0</v>
      </c>
      <c r="C50" s="136">
        <f>ROUNDUP('CHILLAR 2'!C45,0)</f>
        <v>0</v>
      </c>
      <c r="D50" s="136">
        <f>ROUNDUP('CHILLAR 2'!D45,0)</f>
        <v>0</v>
      </c>
      <c r="E50" s="136">
        <f>ROUNDUP('CHILLAR 2'!E45,0)</f>
        <v>0</v>
      </c>
      <c r="F50" s="136">
        <f>ROUNDUP('CHILLAR 2'!F45,0)</f>
        <v>0</v>
      </c>
      <c r="G50" s="136">
        <f>ROUNDUP('CHILLAR 2'!G45,0)</f>
        <v>0</v>
      </c>
      <c r="H50" s="136">
        <f>ROUNDUP('CHILLAR 2'!H45,0)</f>
        <v>0</v>
      </c>
      <c r="I50" s="136">
        <f>ROUNDUP('CHILLAR 2'!I45,0)</f>
        <v>0</v>
      </c>
    </row>
    <row r="51" spans="1:26" ht="15.75" customHeight="1">
      <c r="A51" s="61" t="s">
        <v>295</v>
      </c>
      <c r="B51" s="136">
        <f>ROUNDUP('CHILLAR 2'!B46,0)</f>
        <v>0</v>
      </c>
      <c r="C51" s="136">
        <f>ROUNDUP('CHILLAR 2'!C46,0)</f>
        <v>0</v>
      </c>
      <c r="D51" s="136">
        <f>ROUNDUP('CHILLAR 2'!D46,0)</f>
        <v>0</v>
      </c>
      <c r="E51" s="136">
        <f>ROUNDUP('CHILLAR 2'!E46,0)</f>
        <v>0</v>
      </c>
      <c r="F51" s="136">
        <f>ROUNDUP('CHILLAR 2'!F46,0)</f>
        <v>0</v>
      </c>
      <c r="G51" s="136">
        <f>ROUNDUP('CHILLAR 2'!G46,0)</f>
        <v>0</v>
      </c>
      <c r="H51" s="136">
        <f>ROUNDUP('CHILLAR 2'!H46,0)</f>
        <v>0</v>
      </c>
      <c r="I51" s="136">
        <f>ROUNDUP('CHILLAR 2'!I46,0)</f>
        <v>0</v>
      </c>
    </row>
    <row r="52" spans="1:26" ht="15.75" customHeight="1">
      <c r="A52" s="61" t="s">
        <v>105</v>
      </c>
      <c r="B52" s="136">
        <f>ROUNDUP('CHILLAR 2'!B47,0)</f>
        <v>0</v>
      </c>
      <c r="C52" s="136">
        <f>ROUNDUP('CHILLAR 2'!C47,0)</f>
        <v>4</v>
      </c>
      <c r="D52" s="136">
        <f>ROUNDUP('CHILLAR 2'!D47,0)</f>
        <v>0</v>
      </c>
      <c r="E52" s="136">
        <f>ROUNDUP('CHILLAR 2'!E47,0)</f>
        <v>0</v>
      </c>
      <c r="F52" s="136">
        <v>0</v>
      </c>
      <c r="G52" s="136">
        <f>ROUNDUP('CHILLAR 2'!G47,0)</f>
        <v>2</v>
      </c>
      <c r="H52" s="136">
        <f>ROUNDUP('CHILLAR 2'!H47,0)</f>
        <v>0</v>
      </c>
      <c r="I52" s="136">
        <f>ROUNDUP('CHILLAR 2'!I47,0)</f>
        <v>0</v>
      </c>
    </row>
    <row r="53" spans="1:26" ht="15.75" customHeight="1">
      <c r="A53" s="61" t="s">
        <v>296</v>
      </c>
      <c r="B53" s="136">
        <f>ROUNDUP('CHILLAR 2'!B48,0)</f>
        <v>0</v>
      </c>
      <c r="C53" s="136">
        <f>ROUNDUP('CHILLAR 2'!C48,0)</f>
        <v>1</v>
      </c>
      <c r="D53" s="136">
        <f>ROUNDUP('CHILLAR 2'!D48,0)</f>
        <v>0</v>
      </c>
      <c r="E53" s="136">
        <f>ROUNDUP('CHILLAR 2'!E48,0)</f>
        <v>0</v>
      </c>
      <c r="F53" s="136">
        <f>ROUNDUP('CHILLAR 2'!F48,0)</f>
        <v>1</v>
      </c>
      <c r="G53" s="136">
        <v>0</v>
      </c>
      <c r="H53" s="136">
        <f>ROUNDUP('CHILLAR 2'!H48,0)</f>
        <v>0</v>
      </c>
      <c r="I53" s="136">
        <f>ROUNDUP('CHILLAR 2'!I48,0)</f>
        <v>0</v>
      </c>
    </row>
    <row r="54" spans="1:26" ht="15.75" customHeight="1">
      <c r="A54" s="61" t="s">
        <v>297</v>
      </c>
      <c r="B54" s="136">
        <f>ROUNDUP('CHILLAR 2'!B49,0)</f>
        <v>0</v>
      </c>
      <c r="C54" s="136">
        <f>ROUNDUP('CHILLAR 2'!C49,0)</f>
        <v>8</v>
      </c>
      <c r="D54" s="136">
        <f>ROUNDUP('CHILLAR 2'!D49,0)</f>
        <v>0</v>
      </c>
      <c r="E54" s="136">
        <f>ROUNDUP('CHILLAR 2'!E49,0)</f>
        <v>0</v>
      </c>
      <c r="F54" s="136">
        <f>ROUNDUP('CHILLAR 2'!F49,0)</f>
        <v>19</v>
      </c>
      <c r="G54" s="136">
        <f>ROUNDUP('CHILLAR 2'!G49,0)</f>
        <v>3</v>
      </c>
      <c r="H54" s="136">
        <f>ROUNDUP('CHILLAR 2'!H49,0)</f>
        <v>0</v>
      </c>
      <c r="I54" s="136">
        <f>ROUNDUP('CHILLAR 2'!I49,0)</f>
        <v>0</v>
      </c>
    </row>
    <row r="55" spans="1:26" ht="15.75" customHeight="1">
      <c r="A55" s="61" t="s">
        <v>298</v>
      </c>
      <c r="B55" s="137">
        <f>ROUNDUP('CHILLAR 2'!B50,0)</f>
        <v>0</v>
      </c>
      <c r="C55" s="137">
        <f>ROUNDUP('CHILLAR 2'!C50,0)</f>
        <v>5</v>
      </c>
      <c r="D55" s="137">
        <f>ROUNDUP('CHILLAR 2'!D50,0)</f>
        <v>0</v>
      </c>
      <c r="E55" s="137">
        <f>ROUNDUP('CHILLAR 2'!E50,0)</f>
        <v>0</v>
      </c>
      <c r="F55" s="137">
        <f>ROUNDUP('CHILLAR 2'!F50,0)</f>
        <v>13</v>
      </c>
      <c r="G55" s="137">
        <f>ROUNDUP('CHILLAR 2'!G50,0)</f>
        <v>2</v>
      </c>
      <c r="H55" s="137">
        <f>ROUNDUP('CHILLAR 2'!H50,0)</f>
        <v>0</v>
      </c>
      <c r="I55" s="137">
        <f>ROUNDUP('CHILLAR 2'!I50,0)</f>
        <v>0</v>
      </c>
    </row>
    <row r="56" spans="1:26" ht="15.75" customHeight="1">
      <c r="A56" s="61" t="s">
        <v>109</v>
      </c>
      <c r="B56" s="137">
        <f>ROUNDUP('CHILLAR 2'!B51,0)</f>
        <v>0</v>
      </c>
      <c r="C56" s="137">
        <v>1</v>
      </c>
      <c r="D56" s="137">
        <f>ROUNDUP('CHILLAR 2'!D51,0)</f>
        <v>0</v>
      </c>
      <c r="E56" s="137">
        <f>ROUNDUP('CHILLAR 2'!E51,0)</f>
        <v>0</v>
      </c>
      <c r="F56" s="137">
        <f>ROUNDUP('CHILLAR 2'!F51,0)</f>
        <v>5</v>
      </c>
      <c r="G56" s="137">
        <f>ROUNDUP('CHILLAR 2'!G51,0)</f>
        <v>1</v>
      </c>
      <c r="H56" s="137">
        <f>ROUNDUP('CHILLAR 2'!H51,0)</f>
        <v>0</v>
      </c>
      <c r="I56" s="137">
        <f>ROUNDUP('CHILLAR 2'!I51,0)</f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61" t="s">
        <v>110</v>
      </c>
      <c r="B57" s="137">
        <f>ROUNDUP('CHILLAR 2'!B52,0)</f>
        <v>0</v>
      </c>
      <c r="C57" s="137">
        <f>ROUNDUP('CHILLAR 2'!C52,0)</f>
        <v>1</v>
      </c>
      <c r="D57" s="137">
        <f>ROUNDUP('CHILLAR 2'!D52,0)</f>
        <v>0</v>
      </c>
      <c r="E57" s="137">
        <f>ROUNDUP('CHILLAR 2'!E52,0)</f>
        <v>0</v>
      </c>
      <c r="F57" s="137">
        <f>ROUNDUP('CHILLAR 2'!F52,0)</f>
        <v>1</v>
      </c>
      <c r="G57" s="137">
        <v>0</v>
      </c>
      <c r="H57" s="137">
        <f>ROUNDUP('CHILLAR 2'!H52,0)</f>
        <v>0</v>
      </c>
      <c r="I57" s="137">
        <f>ROUNDUP('CHILLAR 2'!I52,0)</f>
        <v>0</v>
      </c>
    </row>
    <row r="58" spans="1:26" ht="15.75" customHeight="1">
      <c r="A58" s="61" t="s">
        <v>111</v>
      </c>
      <c r="B58" s="137">
        <f>ROUNDUP('CHILLAR 2'!B53,0)</f>
        <v>0</v>
      </c>
      <c r="C58" s="137">
        <f>ROUNDUP('CHILLAR 2'!C53,0)</f>
        <v>0</v>
      </c>
      <c r="D58" s="137">
        <f>ROUNDUP('CHILLAR 2'!D53,0)</f>
        <v>0</v>
      </c>
      <c r="E58" s="137">
        <f>ROUNDUP('CHILLAR 2'!E53,0)</f>
        <v>0</v>
      </c>
      <c r="F58" s="137">
        <f>ROUNDUP('CHILLAR 2'!F53,0)</f>
        <v>0</v>
      </c>
      <c r="G58" s="137">
        <f>ROUNDUP('CHILLAR 2'!G53,0)</f>
        <v>0</v>
      </c>
      <c r="H58" s="137">
        <f>ROUNDUP('CHILLAR 2'!H53,0)</f>
        <v>0</v>
      </c>
      <c r="I58" s="137">
        <f>ROUNDUP('CHILLAR 2'!I53,0)</f>
        <v>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61" t="s">
        <v>112</v>
      </c>
      <c r="B59" s="137">
        <f>ROUNDUP('CHILLAR 2'!B54,0)</f>
        <v>0</v>
      </c>
      <c r="C59" s="137">
        <f>ROUNDUP('CHILLAR 2'!C54,0)</f>
        <v>3</v>
      </c>
      <c r="D59" s="137">
        <f>ROUNDUP('CHILLAR 2'!D54,0)</f>
        <v>0</v>
      </c>
      <c r="E59" s="137">
        <f>ROUNDUP('CHILLAR 2'!E54,0)</f>
        <v>0</v>
      </c>
      <c r="F59" s="137">
        <f>ROUNDUP('CHILLAR 2'!F54,0)</f>
        <v>7</v>
      </c>
      <c r="G59" s="137">
        <f>ROUNDUP('CHILLAR 2'!G54,0)</f>
        <v>2</v>
      </c>
      <c r="H59" s="137">
        <f>ROUNDUP('CHILLAR 2'!H54,0)</f>
        <v>0</v>
      </c>
      <c r="I59" s="137">
        <f>ROUNDUP('CHILLAR 2'!I54,0)</f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61" t="s">
        <v>113</v>
      </c>
      <c r="B60" s="137">
        <f>ROUNDUP('CHILLAR 2'!B55,0)</f>
        <v>0</v>
      </c>
      <c r="C60" s="137">
        <f>ROUNDUP('CHILLAR 2'!C55,0)</f>
        <v>5</v>
      </c>
      <c r="D60" s="137">
        <f>ROUNDUP('CHILLAR 2'!D55,0)</f>
        <v>0</v>
      </c>
      <c r="E60" s="137">
        <f>ROUNDUP('CHILLAR 2'!E55,0)</f>
        <v>0</v>
      </c>
      <c r="F60" s="137">
        <f>ROUNDUP('CHILLAR 2'!F55,0)</f>
        <v>11</v>
      </c>
      <c r="G60" s="137">
        <f>ROUNDUP('CHILLAR 2'!G55,0)</f>
        <v>2</v>
      </c>
      <c r="H60" s="137">
        <f>ROUNDUP('CHILLAR 2'!H55,0)</f>
        <v>0</v>
      </c>
      <c r="I60" s="137">
        <f>ROUNDUP('CHILLAR 2'!I55,0)</f>
        <v>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61" t="s">
        <v>114</v>
      </c>
      <c r="B61" s="137">
        <f>ROUNDUP('CHILLAR 2'!B56,0)</f>
        <v>0</v>
      </c>
      <c r="C61" s="137">
        <f>ROUNDUP('CHILLAR 2'!C56,0)</f>
        <v>1</v>
      </c>
      <c r="D61" s="137">
        <f>ROUNDUP('CHILLAR 2'!D56,0)</f>
        <v>0</v>
      </c>
      <c r="E61" s="137">
        <f>ROUNDUP('CHILLAR 2'!E56,0)</f>
        <v>0</v>
      </c>
      <c r="F61" s="137">
        <f>ROUNDUP('CHILLAR 2'!F56,0)</f>
        <v>3</v>
      </c>
      <c r="G61" s="137">
        <f>ROUNDUP('CHILLAR 2'!G56,0)</f>
        <v>1</v>
      </c>
      <c r="H61" s="137">
        <f>ROUNDUP('CHILLAR 2'!H56,0)</f>
        <v>0</v>
      </c>
      <c r="I61" s="137">
        <f>ROUNDUP('CHILLAR 2'!I56,0)</f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9" ht="15.75" customHeight="1">
      <c r="A65" s="3"/>
      <c r="B65" s="3"/>
      <c r="C65" s="3"/>
      <c r="D65" s="3"/>
      <c r="E65" s="3"/>
      <c r="F65" s="3"/>
      <c r="G65" s="3"/>
      <c r="H65" s="3"/>
      <c r="I65" s="3"/>
    </row>
    <row r="66" spans="1:9" ht="15.75" customHeight="1">
      <c r="A66" s="2" t="s">
        <v>168</v>
      </c>
      <c r="B66" s="4"/>
      <c r="C66" s="3"/>
      <c r="D66" s="3"/>
      <c r="E66" s="3"/>
      <c r="F66" s="3"/>
      <c r="G66" s="3"/>
      <c r="H66" s="3"/>
      <c r="I66" s="3"/>
    </row>
    <row r="67" spans="1:9" ht="15.75" customHeight="1">
      <c r="A67" s="134" t="s">
        <v>317</v>
      </c>
      <c r="B67" s="3"/>
      <c r="C67" s="3"/>
      <c r="D67" s="3"/>
      <c r="E67" s="3"/>
      <c r="F67" s="3"/>
      <c r="G67" s="3"/>
      <c r="H67" s="3"/>
      <c r="I67" s="3"/>
    </row>
    <row r="68" spans="1:9" ht="15.75" customHeight="1">
      <c r="A68" s="111"/>
      <c r="B68" s="138" t="s">
        <v>308</v>
      </c>
      <c r="C68" s="138" t="s">
        <v>309</v>
      </c>
      <c r="D68" s="138" t="s">
        <v>310</v>
      </c>
      <c r="E68" s="138" t="s">
        <v>311</v>
      </c>
      <c r="F68" s="138" t="s">
        <v>312</v>
      </c>
      <c r="G68" s="138" t="s">
        <v>313</v>
      </c>
      <c r="H68" s="138" t="s">
        <v>314</v>
      </c>
      <c r="I68" s="138" t="s">
        <v>315</v>
      </c>
    </row>
    <row r="69" spans="1:9" ht="15.75" customHeight="1">
      <c r="A69" s="122" t="s">
        <v>277</v>
      </c>
      <c r="B69" s="123">
        <v>138</v>
      </c>
      <c r="C69" s="123">
        <v>147</v>
      </c>
      <c r="D69" s="123">
        <v>8</v>
      </c>
      <c r="E69" s="123">
        <v>5</v>
      </c>
      <c r="F69" s="123">
        <v>134</v>
      </c>
      <c r="G69" s="123">
        <v>60</v>
      </c>
      <c r="H69" s="123">
        <v>250</v>
      </c>
      <c r="I69" s="123">
        <v>3</v>
      </c>
    </row>
    <row r="70" spans="1:9" ht="15.75" customHeight="1">
      <c r="A70" s="122" t="s">
        <v>278</v>
      </c>
      <c r="B70" s="123">
        <v>0</v>
      </c>
      <c r="C70" s="123">
        <v>55</v>
      </c>
      <c r="D70" s="123">
        <v>0</v>
      </c>
      <c r="E70" s="123">
        <v>0</v>
      </c>
      <c r="F70" s="123">
        <v>134</v>
      </c>
      <c r="G70" s="123">
        <v>21</v>
      </c>
      <c r="H70" s="123">
        <v>0</v>
      </c>
      <c r="I70" s="123">
        <v>0</v>
      </c>
    </row>
    <row r="71" spans="1:9" ht="15.75" customHeight="1">
      <c r="A71" s="61" t="s">
        <v>170</v>
      </c>
      <c r="B71" s="136">
        <f>ROUNDUP('CHILLAR 2'!B64,0)</f>
        <v>0</v>
      </c>
      <c r="C71" s="136">
        <f>ROUNDUP('CHILLAR 2'!C64,0)</f>
        <v>6</v>
      </c>
      <c r="D71" s="136">
        <f>ROUNDUP('CHILLAR 2'!D64,0)</f>
        <v>0</v>
      </c>
      <c r="E71" s="136">
        <f>ROUNDUP('CHILLAR 2'!E64,0)</f>
        <v>0</v>
      </c>
      <c r="F71" s="136">
        <f>ROUNDUP('CHILLAR 2'!F64,0)</f>
        <v>14</v>
      </c>
      <c r="G71" s="136">
        <f>ROUNDUP('CHILLAR 2'!G64,0)</f>
        <v>3</v>
      </c>
      <c r="H71" s="136">
        <f>ROUNDUP('CHILLAR 2'!H64,0)</f>
        <v>0</v>
      </c>
      <c r="I71" s="136">
        <f>ROUNDUP('CHILLAR 2'!I64,0)</f>
        <v>0</v>
      </c>
    </row>
    <row r="72" spans="1:9" ht="15.75" customHeight="1">
      <c r="A72" s="61" t="s">
        <v>301</v>
      </c>
      <c r="B72" s="136">
        <f>ROUNDUP('CHILLAR 2'!B65,0)</f>
        <v>0</v>
      </c>
      <c r="C72" s="136">
        <f>ROUNDUP('CHILLAR 2'!C65,0)</f>
        <v>8</v>
      </c>
      <c r="D72" s="136">
        <f>ROUNDUP('CHILLAR 2'!D65,0)</f>
        <v>0</v>
      </c>
      <c r="E72" s="136">
        <f>ROUNDUP('CHILLAR 2'!E65,0)</f>
        <v>0</v>
      </c>
      <c r="F72" s="136">
        <f>ROUNDUP('CHILLAR 2'!F65,0)</f>
        <v>19</v>
      </c>
      <c r="G72" s="136">
        <f>ROUNDUP('CHILLAR 2'!G65,0)</f>
        <v>3</v>
      </c>
      <c r="H72" s="136">
        <f>ROUNDUP('CHILLAR 2'!H65,0)</f>
        <v>0</v>
      </c>
      <c r="I72" s="136">
        <f>ROUNDUP('CHILLAR 2'!I65,0)</f>
        <v>0</v>
      </c>
    </row>
    <row r="73" spans="1:9" ht="15.75" customHeight="1">
      <c r="A73" s="61" t="s">
        <v>172</v>
      </c>
      <c r="B73" s="136">
        <f>ROUNDUP('CHILLAR 2'!B66,0)</f>
        <v>0</v>
      </c>
      <c r="C73" s="136">
        <f>ROUNDUP('CHILLAR 2'!C66,0)</f>
        <v>6</v>
      </c>
      <c r="D73" s="136">
        <f>ROUNDUP('CHILLAR 2'!D66,0)</f>
        <v>0</v>
      </c>
      <c r="E73" s="136">
        <f>ROUNDUP('CHILLAR 2'!E66,0)</f>
        <v>0</v>
      </c>
      <c r="F73" s="136">
        <f>ROUNDUP('CHILLAR 2'!F66,0)</f>
        <v>14</v>
      </c>
      <c r="G73" s="136">
        <f>ROUNDUP('CHILLAR 2'!G66,0)</f>
        <v>3</v>
      </c>
      <c r="H73" s="136">
        <f>ROUNDUP('CHILLAR 2'!H66,0)</f>
        <v>0</v>
      </c>
      <c r="I73" s="136">
        <f>ROUNDUP('CHILLAR 2'!I66,0)</f>
        <v>0</v>
      </c>
    </row>
    <row r="74" spans="1:9" ht="15.75" customHeight="1">
      <c r="A74" s="3"/>
      <c r="B74" s="3"/>
      <c r="C74" s="3"/>
      <c r="D74" s="3"/>
      <c r="E74" s="3"/>
      <c r="F74" s="3"/>
      <c r="G74" s="3"/>
      <c r="H74" s="3"/>
      <c r="I74" s="3"/>
    </row>
    <row r="75" spans="1:9" ht="15.75" customHeight="1">
      <c r="A75" s="3"/>
      <c r="B75" s="3"/>
      <c r="C75" s="3"/>
      <c r="D75" s="3"/>
      <c r="E75" s="3"/>
      <c r="F75" s="3"/>
      <c r="G75" s="3"/>
      <c r="H75" s="3"/>
      <c r="I75" s="3"/>
    </row>
    <row r="76" spans="1:9" ht="15.75" customHeight="1">
      <c r="A76" s="2" t="s">
        <v>176</v>
      </c>
      <c r="B76" s="4"/>
      <c r="C76" s="3"/>
      <c r="D76" s="3"/>
      <c r="E76" s="3"/>
      <c r="F76" s="3"/>
      <c r="G76" s="3"/>
      <c r="H76" s="3"/>
      <c r="I76" s="3"/>
    </row>
    <row r="77" spans="1:9" ht="15.75" customHeight="1">
      <c r="A77" s="2" t="s">
        <v>318</v>
      </c>
      <c r="B77" s="3"/>
      <c r="C77" s="3"/>
      <c r="D77" s="3"/>
      <c r="E77" s="3"/>
      <c r="F77" s="3"/>
      <c r="G77" s="3"/>
      <c r="H77" s="3"/>
      <c r="I77" s="3"/>
    </row>
    <row r="78" spans="1:9" ht="15.75" customHeight="1">
      <c r="A78" s="3"/>
      <c r="B78" s="3"/>
      <c r="C78" s="3"/>
      <c r="D78" s="3"/>
      <c r="E78" s="3"/>
      <c r="F78" s="3"/>
      <c r="G78" s="3"/>
      <c r="H78" s="3"/>
      <c r="I78" s="3"/>
    </row>
    <row r="79" spans="1:9" ht="15.75" customHeight="1">
      <c r="A79" s="3"/>
      <c r="B79" s="3"/>
      <c r="C79" s="3"/>
      <c r="D79" s="3"/>
      <c r="E79" s="3"/>
      <c r="F79" s="3"/>
      <c r="G79" s="3"/>
      <c r="H79" s="3"/>
      <c r="I79" s="3"/>
    </row>
    <row r="80" spans="1:9" ht="15.75" customHeight="1">
      <c r="A80" s="111"/>
      <c r="B80" s="138" t="s">
        <v>308</v>
      </c>
      <c r="C80" s="138" t="s">
        <v>309</v>
      </c>
      <c r="D80" s="138" t="s">
        <v>310</v>
      </c>
      <c r="E80" s="138" t="s">
        <v>311</v>
      </c>
      <c r="F80" s="138" t="s">
        <v>312</v>
      </c>
      <c r="G80" s="138" t="s">
        <v>313</v>
      </c>
      <c r="H80" s="138" t="s">
        <v>314</v>
      </c>
      <c r="I80" s="138" t="s">
        <v>315</v>
      </c>
    </row>
    <row r="81" spans="1:12" ht="15.75" customHeight="1">
      <c r="A81" s="122" t="s">
        <v>277</v>
      </c>
      <c r="B81" s="123">
        <v>138</v>
      </c>
      <c r="C81" s="123">
        <v>147</v>
      </c>
      <c r="D81" s="123">
        <v>8</v>
      </c>
      <c r="E81" s="123">
        <v>5</v>
      </c>
      <c r="F81" s="123">
        <v>134</v>
      </c>
      <c r="G81" s="123">
        <v>60</v>
      </c>
      <c r="H81" s="123">
        <v>250</v>
      </c>
      <c r="I81" s="123">
        <v>3</v>
      </c>
    </row>
    <row r="82" spans="1:12" ht="15.75" customHeight="1">
      <c r="A82" s="122" t="s">
        <v>278</v>
      </c>
      <c r="B82" s="123">
        <v>0</v>
      </c>
      <c r="C82" s="123">
        <v>55</v>
      </c>
      <c r="D82" s="123">
        <v>0</v>
      </c>
      <c r="E82" s="123">
        <v>0</v>
      </c>
      <c r="F82" s="123">
        <v>134</v>
      </c>
      <c r="G82" s="123">
        <v>21</v>
      </c>
      <c r="H82" s="123">
        <v>0</v>
      </c>
      <c r="I82" s="123">
        <v>0</v>
      </c>
    </row>
    <row r="83" spans="1:12" ht="15.75" customHeight="1">
      <c r="A83" s="61" t="s">
        <v>182</v>
      </c>
      <c r="B83" s="136">
        <f>ROUNDUP('CHILLAR 2'!B76,0)</f>
        <v>7</v>
      </c>
      <c r="C83" s="136">
        <f>ROUNDUP('CHILLAR 2'!C76,0)</f>
        <v>8</v>
      </c>
      <c r="D83" s="136">
        <f>ROUNDUP('CHILLAR 2'!D76,0)</f>
        <v>1</v>
      </c>
      <c r="E83" s="136">
        <f>ROUNDUP('CHILLAR 2'!E76,0)</f>
        <v>1</v>
      </c>
      <c r="F83" s="136">
        <f>ROUNDUP('CHILLAR 2'!F76,0)</f>
        <v>7</v>
      </c>
      <c r="G83" s="136">
        <f>ROUNDUP('CHILLAR 2'!G76,0)</f>
        <v>3</v>
      </c>
      <c r="H83" s="136">
        <f>ROUNDUP('CHILLAR 2'!H76,0)</f>
        <v>13</v>
      </c>
      <c r="I83" s="136">
        <f>ROUNDUP('CHILLAR 2'!I76,0)</f>
        <v>1</v>
      </c>
    </row>
    <row r="84" spans="1:12" ht="15.75" customHeight="1">
      <c r="A84" s="61" t="s">
        <v>183</v>
      </c>
      <c r="B84" s="136">
        <f>ROUNDUP('CHILLAR 2'!B77,0)</f>
        <v>7</v>
      </c>
      <c r="C84" s="136">
        <f>ROUNDUP('CHILLAR 2'!C77,0)</f>
        <v>8</v>
      </c>
      <c r="D84" s="136">
        <v>0</v>
      </c>
      <c r="E84" s="136">
        <v>0</v>
      </c>
      <c r="F84" s="136">
        <f>ROUNDUP('CHILLAR 2'!F77,0)</f>
        <v>7</v>
      </c>
      <c r="G84" s="136">
        <f>ROUNDUP('CHILLAR 2'!G77,0)</f>
        <v>3</v>
      </c>
      <c r="H84" s="136">
        <f>ROUNDUP('CHILLAR 2'!H77,0)</f>
        <v>13</v>
      </c>
      <c r="I84" s="136">
        <v>0</v>
      </c>
    </row>
    <row r="85" spans="1:12" ht="15.75" customHeight="1">
      <c r="A85" s="61" t="s">
        <v>184</v>
      </c>
      <c r="B85" s="136">
        <f>ROUNDUP('CHILLAR 2'!B78,0)</f>
        <v>7</v>
      </c>
      <c r="C85" s="136">
        <f>ROUNDUP('CHILLAR 2'!C78,0)</f>
        <v>8</v>
      </c>
      <c r="D85" s="136">
        <f>ROUNDUP('CHILLAR 2'!D78,0)</f>
        <v>1</v>
      </c>
      <c r="E85" s="136">
        <f>ROUNDUP('CHILLAR 2'!E78,0)</f>
        <v>1</v>
      </c>
      <c r="F85" s="136">
        <f>ROUNDUP('CHILLAR 2'!F78,0)</f>
        <v>7</v>
      </c>
      <c r="G85" s="136">
        <f>ROUNDUP('CHILLAR 2'!G78,0)</f>
        <v>3</v>
      </c>
      <c r="H85" s="136">
        <f>ROUNDUP('CHILLAR 2'!H78,0)</f>
        <v>13</v>
      </c>
      <c r="I85" s="136">
        <f>ROUNDUP('CHILLAR 2'!I78,0)</f>
        <v>1</v>
      </c>
    </row>
    <row r="86" spans="1:12" ht="15.75" customHeight="1">
      <c r="A86" s="61" t="s">
        <v>185</v>
      </c>
      <c r="B86" s="136">
        <f>ROUNDUP('CHILLAR 2'!B79,0)</f>
        <v>7</v>
      </c>
      <c r="C86" s="136">
        <f>ROUNDUP('CHILLAR 2'!C79,0)</f>
        <v>8</v>
      </c>
      <c r="D86" s="136">
        <v>0</v>
      </c>
      <c r="E86" s="136">
        <v>0</v>
      </c>
      <c r="F86" s="136">
        <f>ROUNDUP('CHILLAR 2'!F79,0)</f>
        <v>7</v>
      </c>
      <c r="G86" s="136">
        <f>ROUNDUP('CHILLAR 2'!G79,0)</f>
        <v>3</v>
      </c>
      <c r="H86" s="136">
        <f>ROUNDUP('CHILLAR 2'!H79,0)</f>
        <v>13</v>
      </c>
      <c r="I86" s="136">
        <v>0</v>
      </c>
    </row>
    <row r="87" spans="1:12" ht="15.75" customHeight="1">
      <c r="A87" s="61" t="s">
        <v>186</v>
      </c>
      <c r="B87" s="136">
        <f>ROUNDUP('CHILLAR 2'!B80,0)</f>
        <v>7</v>
      </c>
      <c r="C87" s="136">
        <f>ROUNDUP('CHILLAR 2'!C80,0)</f>
        <v>8</v>
      </c>
      <c r="D87" s="136">
        <f>ROUNDUP('CHILLAR 2'!D80,0)</f>
        <v>1</v>
      </c>
      <c r="E87" s="136">
        <f>ROUNDUP('CHILLAR 2'!E80,0)</f>
        <v>1</v>
      </c>
      <c r="F87" s="136">
        <f>ROUNDUP('CHILLAR 2'!F80,0)</f>
        <v>7</v>
      </c>
      <c r="G87" s="136">
        <f>ROUNDUP('CHILLAR 2'!G80,0)</f>
        <v>3</v>
      </c>
      <c r="H87" s="136">
        <f>ROUNDUP('CHILLAR 2'!H80,0)</f>
        <v>13</v>
      </c>
      <c r="I87" s="136">
        <f>ROUNDUP('CHILLAR 2'!I80,0)</f>
        <v>1</v>
      </c>
    </row>
    <row r="88" spans="1:12" ht="15.75" customHeight="1">
      <c r="A88" s="61" t="s">
        <v>319</v>
      </c>
      <c r="B88" s="136">
        <f>ROUNDUP('CHILLAR 2'!B81,0)</f>
        <v>0</v>
      </c>
      <c r="C88" s="136">
        <f>ROUNDUP('CHILLAR 2'!C81,0)</f>
        <v>0</v>
      </c>
      <c r="D88" s="136">
        <f>ROUNDUP('CHILLAR 2'!D81,0)</f>
        <v>0</v>
      </c>
      <c r="E88" s="136">
        <f>ROUNDUP('CHILLAR 2'!E81,0)</f>
        <v>0</v>
      </c>
      <c r="F88" s="136">
        <f>ROUNDUP('CHILLAR 2'!F81,0)</f>
        <v>0</v>
      </c>
      <c r="G88" s="136">
        <f>ROUNDUP('CHILLAR 2'!G81,0)</f>
        <v>0</v>
      </c>
      <c r="H88" s="136">
        <f>ROUNDUP('CHILLAR 2'!H81,0)</f>
        <v>0</v>
      </c>
      <c r="I88" s="136">
        <f>ROUNDUP('CHILLAR 2'!I81,0)</f>
        <v>0</v>
      </c>
    </row>
    <row r="89" spans="1:12" ht="15.75" customHeight="1">
      <c r="I89" s="1">
        <v>912600</v>
      </c>
    </row>
    <row r="90" spans="1:12" ht="15.75" customHeight="1"/>
    <row r="91" spans="1:12" ht="15.75" customHeight="1"/>
    <row r="92" spans="1:12" ht="15.75" customHeight="1"/>
    <row r="93" spans="1:12" ht="15.75" customHeight="1">
      <c r="J93" s="3"/>
      <c r="K93" s="3"/>
      <c r="L93" s="3"/>
    </row>
    <row r="94" spans="1:12" ht="15.75" customHeight="1"/>
    <row r="95" spans="1:12" ht="15.75" customHeight="1"/>
    <row r="96" spans="1:1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8:B8"/>
    <mergeCell ref="A9:B9"/>
  </mergeCells>
  <pageMargins left="0.25" right="0.25" top="0.75" bottom="0.75" header="0" footer="0"/>
  <pageSetup paperSize="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G1006"/>
  <sheetViews>
    <sheetView topLeftCell="A34" workbookViewId="0"/>
  </sheetViews>
  <sheetFormatPr baseColWidth="10" defaultColWidth="14.42578125" defaultRowHeight="15" customHeight="1"/>
  <cols>
    <col min="1" max="1" width="52.28515625" customWidth="1"/>
    <col min="2" max="7" width="10.7109375" customWidth="1"/>
  </cols>
  <sheetData>
    <row r="2" spans="1:7" ht="15.75">
      <c r="A2" s="2" t="s">
        <v>3</v>
      </c>
      <c r="B2" s="4"/>
      <c r="C2" s="3"/>
      <c r="D2" s="3"/>
      <c r="E2" s="3"/>
    </row>
    <row r="3" spans="1:7" ht="15.75">
      <c r="A3" s="2"/>
      <c r="B3" s="3"/>
      <c r="C3" s="3"/>
      <c r="D3" s="3"/>
      <c r="E3" s="3"/>
    </row>
    <row r="4" spans="1:7" ht="15.75">
      <c r="A4" s="111"/>
      <c r="B4" s="111" t="s">
        <v>321</v>
      </c>
      <c r="C4" s="111"/>
      <c r="D4" s="111" t="s">
        <v>322</v>
      </c>
      <c r="E4" s="111"/>
      <c r="F4" s="111" t="s">
        <v>33</v>
      </c>
      <c r="G4" s="111"/>
    </row>
    <row r="5" spans="1:7" ht="15.75">
      <c r="A5" s="111"/>
      <c r="B5" s="111" t="s">
        <v>323</v>
      </c>
      <c r="C5" s="111" t="s">
        <v>324</v>
      </c>
      <c r="D5" s="111" t="s">
        <v>323</v>
      </c>
      <c r="E5" s="111" t="s">
        <v>324</v>
      </c>
      <c r="F5" s="111" t="s">
        <v>323</v>
      </c>
      <c r="G5" s="111" t="s">
        <v>324</v>
      </c>
    </row>
    <row r="6" spans="1:7" ht="15.75">
      <c r="A6" s="61" t="s">
        <v>325</v>
      </c>
      <c r="B6" s="111">
        <v>120</v>
      </c>
      <c r="C6" s="111"/>
      <c r="D6" s="111">
        <v>125</v>
      </c>
      <c r="E6" s="111">
        <v>125</v>
      </c>
      <c r="F6" s="111">
        <f t="shared" ref="F6:G6" si="0">SUM(B6,D6)</f>
        <v>245</v>
      </c>
      <c r="G6" s="111">
        <f t="shared" si="0"/>
        <v>125</v>
      </c>
    </row>
    <row r="7" spans="1:7" ht="15.75">
      <c r="A7" s="61" t="s">
        <v>21</v>
      </c>
      <c r="B7" s="111">
        <v>120</v>
      </c>
      <c r="C7" s="111"/>
      <c r="D7" s="111">
        <v>0</v>
      </c>
      <c r="E7" s="111">
        <v>0</v>
      </c>
      <c r="F7" s="111">
        <f t="shared" ref="F7:G7" si="1">SUM(B7,D7)</f>
        <v>120</v>
      </c>
      <c r="G7" s="111">
        <f t="shared" si="1"/>
        <v>0</v>
      </c>
    </row>
    <row r="8" spans="1:7" ht="15.75">
      <c r="A8" s="61" t="s">
        <v>22</v>
      </c>
      <c r="B8" s="111">
        <v>240</v>
      </c>
      <c r="C8" s="111"/>
      <c r="D8" s="111">
        <v>250</v>
      </c>
      <c r="E8" s="111">
        <v>250</v>
      </c>
      <c r="F8" s="111">
        <f t="shared" ref="F8:G8" si="2">SUM(B8,D8)</f>
        <v>490</v>
      </c>
      <c r="G8" s="111">
        <f t="shared" si="2"/>
        <v>250</v>
      </c>
    </row>
    <row r="9" spans="1:7" ht="15.75">
      <c r="A9" s="61" t="s">
        <v>23</v>
      </c>
      <c r="B9" s="111">
        <v>0</v>
      </c>
      <c r="C9" s="111"/>
      <c r="D9" s="111">
        <v>0</v>
      </c>
      <c r="E9" s="111">
        <v>0</v>
      </c>
      <c r="F9" s="111">
        <f t="shared" ref="F9:G9" si="3">SUM(B9,D9)</f>
        <v>0</v>
      </c>
      <c r="G9" s="111">
        <f t="shared" si="3"/>
        <v>0</v>
      </c>
    </row>
    <row r="10" spans="1:7" ht="15.75">
      <c r="A10" s="61" t="s">
        <v>24</v>
      </c>
      <c r="B10" s="111">
        <v>140</v>
      </c>
      <c r="C10" s="111"/>
      <c r="D10" s="111">
        <v>0</v>
      </c>
      <c r="E10" s="111">
        <v>0</v>
      </c>
      <c r="F10" s="111">
        <f t="shared" ref="F10:G10" si="4">SUM(B10,D10)</f>
        <v>140</v>
      </c>
      <c r="G10" s="111">
        <f t="shared" si="4"/>
        <v>0</v>
      </c>
    </row>
    <row r="11" spans="1:7" ht="15.75">
      <c r="A11" s="61" t="s">
        <v>25</v>
      </c>
      <c r="B11" s="111">
        <v>50</v>
      </c>
      <c r="C11" s="111"/>
      <c r="D11" s="111">
        <v>0</v>
      </c>
      <c r="E11" s="111">
        <v>0</v>
      </c>
      <c r="F11" s="111">
        <f t="shared" ref="F11:G11" si="5">SUM(B11,D11)</f>
        <v>50</v>
      </c>
      <c r="G11" s="111">
        <f t="shared" si="5"/>
        <v>0</v>
      </c>
    </row>
    <row r="12" spans="1:7" ht="15.75">
      <c r="A12" s="61" t="s">
        <v>26</v>
      </c>
      <c r="B12" s="111">
        <v>200</v>
      </c>
      <c r="C12" s="111"/>
      <c r="D12" s="111">
        <v>0</v>
      </c>
      <c r="E12" s="111">
        <v>0</v>
      </c>
      <c r="F12" s="111">
        <f t="shared" ref="F12:G12" si="6">SUM(B12,D12)</f>
        <v>200</v>
      </c>
      <c r="G12" s="111">
        <f t="shared" si="6"/>
        <v>0</v>
      </c>
    </row>
    <row r="13" spans="1:7" ht="15.75">
      <c r="A13" s="61" t="s">
        <v>27</v>
      </c>
      <c r="B13" s="111">
        <v>75</v>
      </c>
      <c r="C13" s="111"/>
      <c r="D13" s="111">
        <v>0</v>
      </c>
      <c r="E13" s="111">
        <v>0</v>
      </c>
      <c r="F13" s="111">
        <f t="shared" ref="F13:G13" si="7">SUM(B13,D13)</f>
        <v>75</v>
      </c>
      <c r="G13" s="111">
        <f t="shared" si="7"/>
        <v>0</v>
      </c>
    </row>
    <row r="14" spans="1:7" ht="15.75">
      <c r="A14" s="61" t="s">
        <v>28</v>
      </c>
      <c r="B14" s="111">
        <v>50</v>
      </c>
      <c r="C14" s="111"/>
      <c r="D14" s="111">
        <v>0</v>
      </c>
      <c r="E14" s="111">
        <v>0</v>
      </c>
      <c r="F14" s="111">
        <f t="shared" ref="F14:G14" si="8">SUM(B14,D14)</f>
        <v>50</v>
      </c>
      <c r="G14" s="111">
        <f t="shared" si="8"/>
        <v>0</v>
      </c>
    </row>
    <row r="15" spans="1:7" ht="15.75">
      <c r="A15" s="61" t="s">
        <v>29</v>
      </c>
      <c r="B15" s="111">
        <v>35</v>
      </c>
      <c r="C15" s="111"/>
      <c r="D15" s="111">
        <v>0</v>
      </c>
      <c r="E15" s="111">
        <v>0</v>
      </c>
      <c r="F15" s="111">
        <f t="shared" ref="F15:G15" si="9">SUM(B15,D15)</f>
        <v>35</v>
      </c>
      <c r="G15" s="111">
        <f t="shared" si="9"/>
        <v>0</v>
      </c>
    </row>
    <row r="16" spans="1:7" ht="15.75">
      <c r="A16" s="61" t="s">
        <v>30</v>
      </c>
      <c r="B16" s="111">
        <v>0.2</v>
      </c>
      <c r="C16" s="111"/>
      <c r="D16" s="111">
        <v>0</v>
      </c>
      <c r="E16" s="111">
        <v>0</v>
      </c>
      <c r="F16" s="111">
        <f t="shared" ref="F16:G16" si="10">SUM(B16,D16)</f>
        <v>0.2</v>
      </c>
      <c r="G16" s="111">
        <f t="shared" si="10"/>
        <v>0</v>
      </c>
    </row>
    <row r="17" spans="1:7" ht="15.75">
      <c r="A17" s="61" t="s">
        <v>31</v>
      </c>
      <c r="B17" s="111">
        <v>0.2</v>
      </c>
      <c r="C17" s="111"/>
      <c r="D17" s="111">
        <v>0</v>
      </c>
      <c r="E17" s="111">
        <v>0</v>
      </c>
      <c r="F17" s="111">
        <f t="shared" ref="F17:G17" si="11">SUM(B17,D17)</f>
        <v>0.2</v>
      </c>
      <c r="G17" s="111">
        <f t="shared" si="11"/>
        <v>0</v>
      </c>
    </row>
    <row r="18" spans="1:7" ht="15.75">
      <c r="A18" s="61" t="s">
        <v>32</v>
      </c>
      <c r="B18" s="111">
        <v>1.5</v>
      </c>
      <c r="C18" s="111"/>
      <c r="D18" s="111">
        <v>0</v>
      </c>
      <c r="E18" s="111">
        <v>0</v>
      </c>
      <c r="F18" s="111">
        <f t="shared" ref="F18:G18" si="12">SUM(B18,D18)</f>
        <v>1.5</v>
      </c>
      <c r="G18" s="111">
        <f t="shared" si="12"/>
        <v>0</v>
      </c>
    </row>
    <row r="19" spans="1:7" ht="15.75">
      <c r="F19" s="3"/>
      <c r="G19" s="3"/>
    </row>
    <row r="20" spans="1:7" ht="15.75" customHeight="1">
      <c r="A20" s="2" t="s">
        <v>90</v>
      </c>
      <c r="B20" s="4"/>
      <c r="C20" s="3"/>
      <c r="D20" s="3"/>
      <c r="E20" s="3"/>
      <c r="F20" s="3"/>
      <c r="G20" s="3"/>
    </row>
    <row r="21" spans="1:7" ht="15.75" customHeight="1">
      <c r="A21" s="2"/>
      <c r="B21" s="3"/>
      <c r="C21" s="3"/>
      <c r="D21" s="3"/>
      <c r="E21" s="3"/>
      <c r="F21" s="3"/>
      <c r="G21" s="3"/>
    </row>
    <row r="22" spans="1:7" ht="15.75" customHeight="1">
      <c r="A22" s="111"/>
      <c r="B22" s="111" t="s">
        <v>321</v>
      </c>
      <c r="C22" s="111"/>
      <c r="D22" s="111" t="s">
        <v>322</v>
      </c>
      <c r="E22" s="111"/>
      <c r="F22" s="111" t="s">
        <v>33</v>
      </c>
      <c r="G22" s="111"/>
    </row>
    <row r="23" spans="1:7" ht="15.75" customHeight="1">
      <c r="A23" s="111"/>
      <c r="B23" s="111" t="s">
        <v>323</v>
      </c>
      <c r="C23" s="111" t="s">
        <v>324</v>
      </c>
      <c r="D23" s="111" t="s">
        <v>323</v>
      </c>
      <c r="E23" s="111" t="s">
        <v>324</v>
      </c>
      <c r="F23" s="111" t="s">
        <v>323</v>
      </c>
      <c r="G23" s="111" t="s">
        <v>324</v>
      </c>
    </row>
    <row r="24" spans="1:7" ht="15.75" customHeight="1">
      <c r="A24" s="61" t="s">
        <v>284</v>
      </c>
      <c r="B24" s="111">
        <v>125</v>
      </c>
      <c r="C24" s="111"/>
      <c r="D24" s="111">
        <v>600</v>
      </c>
      <c r="E24" s="111">
        <v>600</v>
      </c>
      <c r="F24" s="111">
        <f t="shared" ref="F24:G24" si="13">SUM(B24,D24)</f>
        <v>725</v>
      </c>
      <c r="G24" s="111">
        <f t="shared" si="13"/>
        <v>600</v>
      </c>
    </row>
    <row r="25" spans="1:7" ht="15.75" customHeight="1">
      <c r="A25" s="61" t="s">
        <v>285</v>
      </c>
      <c r="B25" s="111">
        <v>7</v>
      </c>
      <c r="C25" s="111"/>
      <c r="D25" s="111">
        <v>15</v>
      </c>
      <c r="E25" s="111">
        <v>15</v>
      </c>
      <c r="F25" s="111">
        <f t="shared" ref="F25:G25" si="14">SUM(B25,D25)</f>
        <v>22</v>
      </c>
      <c r="G25" s="111">
        <f t="shared" si="14"/>
        <v>15</v>
      </c>
    </row>
    <row r="26" spans="1:7" ht="15.75" customHeight="1">
      <c r="A26" s="61" t="s">
        <v>286</v>
      </c>
      <c r="B26" s="111">
        <v>0</v>
      </c>
      <c r="C26" s="111"/>
      <c r="D26" s="111">
        <v>1.5</v>
      </c>
      <c r="E26" s="111">
        <v>1.5</v>
      </c>
      <c r="F26" s="111">
        <f t="shared" ref="F26:G26" si="15">SUM(B26,D26)</f>
        <v>1.5</v>
      </c>
      <c r="G26" s="111">
        <f t="shared" si="15"/>
        <v>1.5</v>
      </c>
    </row>
    <row r="27" spans="1:7" ht="15.75" customHeight="1">
      <c r="A27" s="61" t="s">
        <v>95</v>
      </c>
      <c r="B27" s="111">
        <v>0</v>
      </c>
      <c r="C27" s="111"/>
      <c r="D27" s="111">
        <v>20</v>
      </c>
      <c r="E27" s="111">
        <v>20</v>
      </c>
      <c r="F27" s="111">
        <f t="shared" ref="F27:G27" si="16">SUM(B27,D27)</f>
        <v>20</v>
      </c>
      <c r="G27" s="111">
        <f t="shared" si="16"/>
        <v>20</v>
      </c>
    </row>
    <row r="28" spans="1:7" ht="15.75" customHeight="1">
      <c r="A28" s="61" t="s">
        <v>287</v>
      </c>
      <c r="B28" s="111">
        <v>0</v>
      </c>
      <c r="C28" s="111"/>
      <c r="D28" s="111">
        <v>30</v>
      </c>
      <c r="E28" s="111">
        <v>30</v>
      </c>
      <c r="F28" s="111">
        <f t="shared" ref="F28:G28" si="17">SUM(B28,D28)</f>
        <v>30</v>
      </c>
      <c r="G28" s="111">
        <f t="shared" si="17"/>
        <v>30</v>
      </c>
    </row>
    <row r="29" spans="1:7" ht="15.75" customHeight="1">
      <c r="A29" s="61" t="s">
        <v>288</v>
      </c>
      <c r="B29" s="111">
        <v>0</v>
      </c>
      <c r="C29" s="111"/>
      <c r="D29" s="111">
        <v>20</v>
      </c>
      <c r="E29" s="111">
        <v>20</v>
      </c>
      <c r="F29" s="111">
        <f t="shared" ref="F29:G29" si="18">SUM(B29,D29)</f>
        <v>20</v>
      </c>
      <c r="G29" s="111">
        <f t="shared" si="18"/>
        <v>20</v>
      </c>
    </row>
    <row r="30" spans="1:7" ht="15.75" customHeight="1">
      <c r="A30" s="61" t="s">
        <v>289</v>
      </c>
      <c r="B30" s="111">
        <v>50</v>
      </c>
      <c r="C30" s="111"/>
      <c r="D30" s="111">
        <v>0</v>
      </c>
      <c r="E30" s="111">
        <v>0</v>
      </c>
      <c r="F30" s="111">
        <f t="shared" ref="F30:G30" si="19">SUM(B30,D30)</f>
        <v>50</v>
      </c>
      <c r="G30" s="111">
        <f t="shared" si="19"/>
        <v>0</v>
      </c>
    </row>
    <row r="31" spans="1:7" ht="15.75" customHeight="1">
      <c r="A31" s="61" t="s">
        <v>290</v>
      </c>
      <c r="B31" s="111">
        <v>30</v>
      </c>
      <c r="C31" s="111"/>
      <c r="D31" s="111">
        <v>0</v>
      </c>
      <c r="E31" s="111">
        <v>0</v>
      </c>
      <c r="F31" s="111">
        <f t="shared" ref="F31:G31" si="20">SUM(B31,D31)</f>
        <v>30</v>
      </c>
      <c r="G31" s="111">
        <f t="shared" si="20"/>
        <v>0</v>
      </c>
    </row>
    <row r="32" spans="1:7" ht="15.75" customHeight="1">
      <c r="A32" s="61" t="s">
        <v>291</v>
      </c>
      <c r="B32" s="111">
        <v>80</v>
      </c>
      <c r="C32" s="111"/>
      <c r="D32" s="111">
        <v>0</v>
      </c>
      <c r="E32" s="111">
        <v>0</v>
      </c>
      <c r="F32" s="111">
        <f t="shared" ref="F32:G32" si="21">SUM(B32,D32)</f>
        <v>80</v>
      </c>
      <c r="G32" s="111">
        <f t="shared" si="21"/>
        <v>0</v>
      </c>
    </row>
    <row r="33" spans="1:7" ht="15.75" customHeight="1">
      <c r="A33" s="61" t="s">
        <v>292</v>
      </c>
      <c r="B33" s="111">
        <v>0</v>
      </c>
      <c r="C33" s="111"/>
      <c r="D33" s="111">
        <v>0</v>
      </c>
      <c r="E33" s="111">
        <v>0</v>
      </c>
      <c r="F33" s="111">
        <f t="shared" ref="F33:G33" si="22">SUM(B33,D33)</f>
        <v>0</v>
      </c>
      <c r="G33" s="111">
        <f t="shared" si="22"/>
        <v>0</v>
      </c>
    </row>
    <row r="34" spans="1:7" ht="15.75" customHeight="1">
      <c r="A34" s="61" t="s">
        <v>293</v>
      </c>
      <c r="B34" s="111">
        <v>40</v>
      </c>
      <c r="C34" s="111"/>
      <c r="D34" s="111">
        <v>0</v>
      </c>
      <c r="E34" s="111">
        <v>0</v>
      </c>
      <c r="F34" s="111">
        <f t="shared" ref="F34:G34" si="23">SUM(B34,D34)</f>
        <v>40</v>
      </c>
      <c r="G34" s="111">
        <f t="shared" si="23"/>
        <v>0</v>
      </c>
    </row>
    <row r="35" spans="1:7" ht="15.75" customHeight="1">
      <c r="A35" s="61" t="s">
        <v>294</v>
      </c>
      <c r="B35" s="111">
        <v>0</v>
      </c>
      <c r="C35" s="111"/>
      <c r="D35" s="111">
        <v>0</v>
      </c>
      <c r="E35" s="111">
        <v>0</v>
      </c>
      <c r="F35" s="111">
        <f t="shared" ref="F35:G35" si="24">SUM(B35,D35)</f>
        <v>0</v>
      </c>
      <c r="G35" s="111">
        <f t="shared" si="24"/>
        <v>0</v>
      </c>
    </row>
    <row r="36" spans="1:7" ht="15.75" customHeight="1">
      <c r="A36" s="61" t="s">
        <v>295</v>
      </c>
      <c r="B36" s="111">
        <v>0</v>
      </c>
      <c r="C36" s="111"/>
      <c r="D36" s="111">
        <v>0</v>
      </c>
      <c r="E36" s="111">
        <v>0</v>
      </c>
      <c r="F36" s="111">
        <f t="shared" ref="F36:G36" si="25">SUM(B36,D36)</f>
        <v>0</v>
      </c>
      <c r="G36" s="111">
        <f t="shared" si="25"/>
        <v>0</v>
      </c>
    </row>
    <row r="37" spans="1:7" ht="15.75" customHeight="1">
      <c r="A37" s="61" t="s">
        <v>105</v>
      </c>
      <c r="B37" s="111">
        <v>1.5</v>
      </c>
      <c r="C37" s="111"/>
      <c r="D37" s="111">
        <v>0</v>
      </c>
      <c r="E37" s="111">
        <v>0</v>
      </c>
      <c r="F37" s="111">
        <f t="shared" ref="F37:G37" si="26">SUM(B37,D37)</f>
        <v>1.5</v>
      </c>
      <c r="G37" s="111">
        <f t="shared" si="26"/>
        <v>0</v>
      </c>
    </row>
    <row r="38" spans="1:7" ht="15.75" customHeight="1">
      <c r="A38" s="61" t="s">
        <v>296</v>
      </c>
      <c r="B38" s="111">
        <v>1.5</v>
      </c>
      <c r="C38" s="111"/>
      <c r="D38" s="111">
        <v>0</v>
      </c>
      <c r="E38" s="111">
        <v>0</v>
      </c>
      <c r="F38" s="111">
        <f t="shared" ref="F38:G38" si="27">SUM(B38,D38)</f>
        <v>1.5</v>
      </c>
      <c r="G38" s="111">
        <f t="shared" si="27"/>
        <v>0</v>
      </c>
    </row>
    <row r="39" spans="1:7" ht="15.75" customHeight="1">
      <c r="A39" s="61" t="s">
        <v>297</v>
      </c>
      <c r="B39" s="111">
        <v>70</v>
      </c>
      <c r="C39" s="111"/>
      <c r="D39" s="111">
        <v>0</v>
      </c>
      <c r="E39" s="111">
        <v>0</v>
      </c>
      <c r="F39" s="111">
        <f t="shared" ref="F39:G39" si="28">SUM(B39,D39)</f>
        <v>70</v>
      </c>
      <c r="G39" s="111">
        <f t="shared" si="28"/>
        <v>0</v>
      </c>
    </row>
    <row r="40" spans="1:7" ht="15.75" customHeight="1">
      <c r="A40" s="145" t="s">
        <v>298</v>
      </c>
      <c r="B40" s="146">
        <v>45</v>
      </c>
      <c r="C40" s="146"/>
      <c r="D40" s="146">
        <v>0</v>
      </c>
      <c r="E40" s="146">
        <v>0</v>
      </c>
      <c r="F40" s="146">
        <f t="shared" ref="F40:G40" si="29">SUM(B40,D40)</f>
        <v>45</v>
      </c>
      <c r="G40" s="146">
        <f t="shared" si="29"/>
        <v>0</v>
      </c>
    </row>
    <row r="41" spans="1:7" ht="15.75" customHeight="1">
      <c r="A41" s="61" t="s">
        <v>303</v>
      </c>
      <c r="B41" s="111">
        <v>35</v>
      </c>
      <c r="C41" s="111"/>
      <c r="D41" s="146">
        <v>0</v>
      </c>
      <c r="E41" s="146">
        <v>0</v>
      </c>
      <c r="F41" s="146">
        <f t="shared" ref="F41:G41" si="30">SUM(B41,D41)</f>
        <v>35</v>
      </c>
      <c r="G41" s="146">
        <f t="shared" si="30"/>
        <v>0</v>
      </c>
    </row>
    <row r="42" spans="1:7" ht="15.75" customHeight="1">
      <c r="A42" s="61" t="s">
        <v>304</v>
      </c>
      <c r="B42" s="111">
        <v>3</v>
      </c>
      <c r="C42" s="111"/>
      <c r="D42" s="146">
        <v>0</v>
      </c>
      <c r="E42" s="146">
        <v>0</v>
      </c>
      <c r="F42" s="146">
        <f t="shared" ref="F42:G42" si="31">SUM(B42,D42)</f>
        <v>3</v>
      </c>
      <c r="G42" s="146">
        <f t="shared" si="31"/>
        <v>0</v>
      </c>
    </row>
    <row r="43" spans="1:7" ht="15.75" customHeight="1">
      <c r="A43" s="61" t="s">
        <v>111</v>
      </c>
      <c r="B43" s="111">
        <v>0</v>
      </c>
      <c r="C43" s="111"/>
      <c r="D43" s="146">
        <v>0</v>
      </c>
      <c r="E43" s="146">
        <v>0</v>
      </c>
      <c r="F43" s="146">
        <f t="shared" ref="F43:G43" si="32">SUM(B43,D43)</f>
        <v>0</v>
      </c>
      <c r="G43" s="146">
        <f t="shared" si="32"/>
        <v>0</v>
      </c>
    </row>
    <row r="44" spans="1:7" ht="15.75" customHeight="1">
      <c r="A44" s="61" t="s">
        <v>112</v>
      </c>
      <c r="B44" s="111">
        <v>50</v>
      </c>
      <c r="C44" s="111"/>
      <c r="D44" s="146">
        <v>0</v>
      </c>
      <c r="E44" s="146">
        <v>0</v>
      </c>
      <c r="F44" s="146">
        <f t="shared" ref="F44:G44" si="33">SUM(B44,D44)</f>
        <v>50</v>
      </c>
      <c r="G44" s="146">
        <f t="shared" si="33"/>
        <v>0</v>
      </c>
    </row>
    <row r="45" spans="1:7" ht="15.75" customHeight="1">
      <c r="A45" s="61" t="s">
        <v>113</v>
      </c>
      <c r="B45" s="111">
        <v>75</v>
      </c>
      <c r="C45" s="111"/>
      <c r="D45" s="146">
        <v>0</v>
      </c>
      <c r="E45" s="146">
        <v>0</v>
      </c>
      <c r="F45" s="146">
        <f t="shared" ref="F45:G45" si="34">SUM(B45,D45)</f>
        <v>75</v>
      </c>
      <c r="G45" s="146">
        <f t="shared" si="34"/>
        <v>0</v>
      </c>
    </row>
    <row r="46" spans="1:7" ht="15.75" customHeight="1">
      <c r="A46" s="61" t="s">
        <v>114</v>
      </c>
      <c r="B46" s="111">
        <v>0.35</v>
      </c>
      <c r="C46" s="111"/>
      <c r="D46" s="146">
        <v>0</v>
      </c>
      <c r="E46" s="146">
        <v>0</v>
      </c>
      <c r="F46" s="146">
        <f t="shared" ref="F46:G46" si="35">SUM(B46,D46)</f>
        <v>0.35</v>
      </c>
      <c r="G46" s="146">
        <f t="shared" si="35"/>
        <v>0</v>
      </c>
    </row>
    <row r="47" spans="1:7" ht="15.75" customHeight="1">
      <c r="F47" s="3"/>
      <c r="G47" s="3"/>
    </row>
    <row r="48" spans="1:7" ht="15.75" customHeight="1">
      <c r="A48" s="2" t="s">
        <v>168</v>
      </c>
      <c r="B48" s="4"/>
      <c r="C48" s="3"/>
      <c r="D48" s="3"/>
      <c r="E48" s="3"/>
      <c r="F48" s="3"/>
      <c r="G48" s="3"/>
    </row>
    <row r="49" spans="1:7" ht="15.75" customHeight="1">
      <c r="A49" s="2"/>
      <c r="B49" s="3"/>
      <c r="C49" s="3"/>
      <c r="D49" s="3"/>
      <c r="E49" s="3"/>
      <c r="F49" s="3"/>
      <c r="G49" s="3"/>
    </row>
    <row r="50" spans="1:7" ht="15.75" customHeight="1">
      <c r="A50" s="111"/>
      <c r="B50" s="111" t="s">
        <v>321</v>
      </c>
      <c r="C50" s="111"/>
      <c r="D50" s="111" t="s">
        <v>322</v>
      </c>
      <c r="E50" s="111"/>
      <c r="F50" s="111" t="s">
        <v>33</v>
      </c>
      <c r="G50" s="111"/>
    </row>
    <row r="51" spans="1:7" ht="15.75" customHeight="1">
      <c r="A51" s="111"/>
      <c r="B51" s="111" t="s">
        <v>323</v>
      </c>
      <c r="C51" s="111" t="s">
        <v>324</v>
      </c>
      <c r="D51" s="111" t="s">
        <v>323</v>
      </c>
      <c r="E51" s="111" t="s">
        <v>324</v>
      </c>
      <c r="F51" s="111" t="s">
        <v>323</v>
      </c>
      <c r="G51" s="111" t="s">
        <v>324</v>
      </c>
    </row>
    <row r="52" spans="1:7" ht="15.75" customHeight="1">
      <c r="A52" s="61" t="s">
        <v>170</v>
      </c>
      <c r="B52" s="111">
        <v>100</v>
      </c>
      <c r="C52" s="111"/>
      <c r="D52" s="111">
        <v>0</v>
      </c>
      <c r="E52" s="111">
        <v>0</v>
      </c>
      <c r="F52" s="111">
        <f t="shared" ref="F52:G52" si="36">SUM(B52,D52)</f>
        <v>100</v>
      </c>
      <c r="G52" s="111">
        <f t="shared" si="36"/>
        <v>0</v>
      </c>
    </row>
    <row r="53" spans="1:7" ht="15.75" customHeight="1">
      <c r="A53" s="61" t="s">
        <v>301</v>
      </c>
      <c r="B53" s="111">
        <v>80</v>
      </c>
      <c r="C53" s="111"/>
      <c r="D53" s="111">
        <v>0</v>
      </c>
      <c r="E53" s="111">
        <v>0</v>
      </c>
      <c r="F53" s="111">
        <f t="shared" ref="F53:G53" si="37">SUM(B53,D53)</f>
        <v>80</v>
      </c>
      <c r="G53" s="111">
        <f t="shared" si="37"/>
        <v>0</v>
      </c>
    </row>
    <row r="54" spans="1:7" ht="15.75" customHeight="1">
      <c r="A54" s="61" t="s">
        <v>172</v>
      </c>
      <c r="B54" s="111">
        <v>100</v>
      </c>
      <c r="C54" s="111"/>
      <c r="D54" s="111">
        <v>0</v>
      </c>
      <c r="E54" s="111">
        <v>0</v>
      </c>
      <c r="F54" s="111">
        <f t="shared" ref="F54:G54" si="38">SUM(B54,D54)</f>
        <v>100</v>
      </c>
      <c r="G54" s="111">
        <f t="shared" si="38"/>
        <v>0</v>
      </c>
    </row>
    <row r="55" spans="1:7" ht="15.75" customHeight="1">
      <c r="F55" s="3"/>
      <c r="G55" s="3"/>
    </row>
    <row r="56" spans="1:7" ht="15.75" customHeight="1">
      <c r="A56" s="2" t="s">
        <v>176</v>
      </c>
      <c r="B56" s="4"/>
      <c r="C56" s="3"/>
      <c r="D56" s="3"/>
      <c r="E56" s="3"/>
      <c r="F56" s="3"/>
      <c r="G56" s="3"/>
    </row>
    <row r="57" spans="1:7" ht="15.75" customHeight="1">
      <c r="A57" s="3"/>
      <c r="B57" s="3"/>
      <c r="C57" s="3"/>
      <c r="D57" s="3"/>
      <c r="E57" s="3"/>
      <c r="F57" s="3"/>
      <c r="G57" s="3"/>
    </row>
    <row r="58" spans="1:7" ht="15.75" customHeight="1">
      <c r="A58" s="111"/>
      <c r="B58" s="111" t="s">
        <v>321</v>
      </c>
      <c r="C58" s="111"/>
      <c r="D58" s="111" t="s">
        <v>322</v>
      </c>
      <c r="E58" s="111"/>
      <c r="F58" s="111" t="s">
        <v>33</v>
      </c>
      <c r="G58" s="111"/>
    </row>
    <row r="59" spans="1:7" ht="15.75" customHeight="1">
      <c r="A59" s="111"/>
      <c r="B59" s="111" t="s">
        <v>323</v>
      </c>
      <c r="C59" s="111" t="s">
        <v>324</v>
      </c>
      <c r="D59" s="111" t="s">
        <v>323</v>
      </c>
      <c r="E59" s="111" t="s">
        <v>324</v>
      </c>
      <c r="F59" s="111" t="s">
        <v>323</v>
      </c>
      <c r="G59" s="111" t="s">
        <v>324</v>
      </c>
    </row>
    <row r="60" spans="1:7" ht="15.75" customHeight="1">
      <c r="A60" s="61" t="s">
        <v>182</v>
      </c>
      <c r="B60" s="111">
        <v>0</v>
      </c>
      <c r="C60" s="111">
        <v>0</v>
      </c>
      <c r="D60" s="111">
        <v>50</v>
      </c>
      <c r="E60" s="111">
        <v>50</v>
      </c>
      <c r="F60" s="111">
        <f t="shared" ref="F60:G60" si="39">SUM(B60,D60)</f>
        <v>50</v>
      </c>
      <c r="G60" s="111">
        <f t="shared" si="39"/>
        <v>50</v>
      </c>
    </row>
    <row r="61" spans="1:7" ht="15.75" customHeight="1">
      <c r="A61" s="61" t="s">
        <v>183</v>
      </c>
      <c r="B61" s="111">
        <v>0</v>
      </c>
      <c r="C61" s="111">
        <v>0</v>
      </c>
      <c r="D61" s="111">
        <v>50</v>
      </c>
      <c r="E61" s="111">
        <v>50</v>
      </c>
      <c r="F61" s="111">
        <f t="shared" ref="F61:G61" si="40">SUM(B61,D61)</f>
        <v>50</v>
      </c>
      <c r="G61" s="111">
        <f t="shared" si="40"/>
        <v>50</v>
      </c>
    </row>
    <row r="62" spans="1:7" ht="15.75" customHeight="1">
      <c r="A62" s="61" t="s">
        <v>184</v>
      </c>
      <c r="B62" s="111">
        <v>0</v>
      </c>
      <c r="C62" s="111">
        <v>0</v>
      </c>
      <c r="D62" s="111">
        <v>50</v>
      </c>
      <c r="E62" s="111">
        <v>50</v>
      </c>
      <c r="F62" s="111">
        <f t="shared" ref="F62:G62" si="41">SUM(B62,D62)</f>
        <v>50</v>
      </c>
      <c r="G62" s="111">
        <f t="shared" si="41"/>
        <v>50</v>
      </c>
    </row>
    <row r="63" spans="1:7" ht="15.75" customHeight="1">
      <c r="A63" s="61" t="s">
        <v>185</v>
      </c>
      <c r="B63" s="111">
        <v>0</v>
      </c>
      <c r="C63" s="111">
        <v>0</v>
      </c>
      <c r="D63" s="111">
        <v>50</v>
      </c>
      <c r="E63" s="111">
        <v>50</v>
      </c>
      <c r="F63" s="111">
        <f t="shared" ref="F63:G63" si="42">SUM(B63,D63)</f>
        <v>50</v>
      </c>
      <c r="G63" s="111">
        <f t="shared" si="42"/>
        <v>50</v>
      </c>
    </row>
    <row r="64" spans="1:7" ht="15.75" customHeight="1">
      <c r="A64" s="61" t="s">
        <v>186</v>
      </c>
      <c r="B64" s="111">
        <v>0</v>
      </c>
      <c r="C64" s="111">
        <v>0</v>
      </c>
      <c r="D64" s="111">
        <v>50</v>
      </c>
      <c r="E64" s="111">
        <v>50</v>
      </c>
      <c r="F64" s="111">
        <f t="shared" ref="F64:G64" si="43">SUM(B64,D64)</f>
        <v>50</v>
      </c>
      <c r="G64" s="111">
        <f t="shared" si="43"/>
        <v>50</v>
      </c>
    </row>
    <row r="65" spans="1:7" ht="15.75" customHeight="1">
      <c r="A65" s="61" t="s">
        <v>319</v>
      </c>
      <c r="B65" s="111">
        <v>0</v>
      </c>
      <c r="C65" s="111">
        <v>0</v>
      </c>
      <c r="D65" s="111">
        <v>0</v>
      </c>
      <c r="E65" s="111">
        <v>0</v>
      </c>
      <c r="F65" s="111">
        <f t="shared" ref="F65:G65" si="44">SUM(B65,D65)</f>
        <v>0</v>
      </c>
      <c r="G65" s="111">
        <f t="shared" si="44"/>
        <v>0</v>
      </c>
    </row>
    <row r="66" spans="1:7" ht="15.75" customHeight="1">
      <c r="B66" s="1">
        <f t="shared" ref="B66:E66" si="45">SUM(B60:B64)</f>
        <v>0</v>
      </c>
      <c r="C66" s="1">
        <f t="shared" si="45"/>
        <v>0</v>
      </c>
      <c r="D66" s="1">
        <f t="shared" si="45"/>
        <v>250</v>
      </c>
      <c r="E66" s="1">
        <f t="shared" si="45"/>
        <v>250</v>
      </c>
    </row>
    <row r="67" spans="1:7" ht="15.75" customHeight="1"/>
    <row r="68" spans="1:7" ht="15.75" customHeight="1"/>
    <row r="69" spans="1:7" ht="15.75" customHeight="1"/>
    <row r="70" spans="1:7" ht="15.75" customHeight="1"/>
    <row r="71" spans="1:7" ht="15.75" customHeight="1"/>
    <row r="72" spans="1:7" ht="15.75" customHeight="1"/>
    <row r="73" spans="1:7" ht="15.75" customHeight="1"/>
    <row r="74" spans="1:7" ht="15.75" customHeight="1"/>
    <row r="75" spans="1:7" ht="15.75" customHeight="1"/>
    <row r="76" spans="1:7" ht="15.75" customHeight="1"/>
    <row r="77" spans="1:7" ht="15.75" customHeight="1"/>
    <row r="78" spans="1:7" ht="15.75" customHeight="1"/>
    <row r="79" spans="1:7" ht="15.75" customHeight="1"/>
    <row r="80" spans="1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 AZUL 2</vt:lpstr>
      <vt:lpstr>OC FRUT y VERD AZUL 2</vt:lpstr>
      <vt:lpstr>OC SECOS y LAC AZUL 2</vt:lpstr>
      <vt:lpstr>OC CAR y PAN AZUL 2</vt:lpstr>
      <vt:lpstr>CACHARI 2</vt:lpstr>
      <vt:lpstr>OC CACHARI 2</vt:lpstr>
      <vt:lpstr>CHILLAR 2</vt:lpstr>
      <vt:lpstr>OC CHILLAR 2</vt:lpstr>
      <vt:lpstr>SEMANAL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</dc:creator>
  <cp:lastModifiedBy>User</cp:lastModifiedBy>
  <dcterms:created xsi:type="dcterms:W3CDTF">2025-12-01T14:41:56Z</dcterms:created>
  <dcterms:modified xsi:type="dcterms:W3CDTF">2026-06-03T14:01:49Z</dcterms:modified>
</cp:coreProperties>
</file>